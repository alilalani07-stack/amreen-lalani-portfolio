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li\Desktop\Amreen Lalani\"/>
    </mc:Choice>
  </mc:AlternateContent>
  <xr:revisionPtr revIDLastSave="0" documentId="8_{03B8037F-ACBA-4139-8712-25988341FEA8}" xr6:coauthVersionLast="47" xr6:coauthVersionMax="47" xr10:uidLastSave="{00000000-0000-0000-0000-000000000000}"/>
  <bookViews>
    <workbookView xWindow="-108" yWindow="-108" windowWidth="23256" windowHeight="12456" activeTab="3" xr2:uid="{00000000-000D-0000-FFFF-FFFF00000000}"/>
  </bookViews>
  <sheets>
    <sheet name="Sales_Data" sheetId="1" r:id="rId1"/>
    <sheet name="Data Cleaning" sheetId="3" r:id="rId2"/>
    <sheet name="Pivot Table" sheetId="5" r:id="rId3"/>
    <sheet name="Dashboard" sheetId="8" r:id="rId4"/>
  </sheets>
  <definedNames>
    <definedName name="Slicer_Month">#N/A</definedName>
    <definedName name="Slicer_Product">#N/A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 i="8" l="1"/>
  <c r="M7" i="8"/>
  <c r="D7" i="8"/>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2" i="3"/>
</calcChain>
</file>

<file path=xl/sharedStrings.xml><?xml version="1.0" encoding="utf-8"?>
<sst xmlns="http://schemas.openxmlformats.org/spreadsheetml/2006/main" count="4888" uniqueCount="689">
  <si>
    <t>Order_ID</t>
  </si>
  <si>
    <t>Date</t>
  </si>
  <si>
    <t>Month</t>
  </si>
  <si>
    <t>Region</t>
  </si>
  <si>
    <t>Product</t>
  </si>
  <si>
    <t>Category</t>
  </si>
  <si>
    <t>Quantity</t>
  </si>
  <si>
    <t>Selling_Price</t>
  </si>
  <si>
    <t>Cost_Price</t>
  </si>
  <si>
    <t>Revenue</t>
  </si>
  <si>
    <t>Cost</t>
  </si>
  <si>
    <t>Profit</t>
  </si>
  <si>
    <t>ORD001</t>
  </si>
  <si>
    <t>10-11-2024</t>
  </si>
  <si>
    <t>Nov</t>
  </si>
  <si>
    <t>East</t>
  </si>
  <si>
    <t>Monitor</t>
  </si>
  <si>
    <t>Electronics</t>
  </si>
  <si>
    <t>ORD002</t>
  </si>
  <si>
    <t>02-08-2024</t>
  </si>
  <si>
    <t>Aug</t>
  </si>
  <si>
    <t>Headphones</t>
  </si>
  <si>
    <t>Accessories</t>
  </si>
  <si>
    <t>ORD003</t>
  </si>
  <si>
    <t>12-05-2024</t>
  </si>
  <si>
    <t>May</t>
  </si>
  <si>
    <t>South</t>
  </si>
  <si>
    <t>Tablet</t>
  </si>
  <si>
    <t>ORD004</t>
  </si>
  <si>
    <t>21-10-2024</t>
  </si>
  <si>
    <t>Oct</t>
  </si>
  <si>
    <t>West</t>
  </si>
  <si>
    <t>ORD005</t>
  </si>
  <si>
    <t>08-11-2024</t>
  </si>
  <si>
    <t>ORD006</t>
  </si>
  <si>
    <t>27-10-2024</t>
  </si>
  <si>
    <t>North</t>
  </si>
  <si>
    <t>ORD007</t>
  </si>
  <si>
    <t>26-03-2024</t>
  </si>
  <si>
    <t>Mar</t>
  </si>
  <si>
    <t>ORD008</t>
  </si>
  <si>
    <t>13-04-2024</t>
  </si>
  <si>
    <t>Apr</t>
  </si>
  <si>
    <t>ORD009</t>
  </si>
  <si>
    <t>15-06-2024</t>
  </si>
  <si>
    <t>Jun</t>
  </si>
  <si>
    <t>Phone</t>
  </si>
  <si>
    <t>ORD010</t>
  </si>
  <si>
    <t>28-06-2024</t>
  </si>
  <si>
    <t>ORD011</t>
  </si>
  <si>
    <t>30-07-2024</t>
  </si>
  <si>
    <t>Jul</t>
  </si>
  <si>
    <t>ORD012</t>
  </si>
  <si>
    <t>01-06-2024</t>
  </si>
  <si>
    <t>ORD013</t>
  </si>
  <si>
    <t>10-01-2024</t>
  </si>
  <si>
    <t>Jan</t>
  </si>
  <si>
    <t>ORD014</t>
  </si>
  <si>
    <t>ORD015</t>
  </si>
  <si>
    <t>09-01-2024</t>
  </si>
  <si>
    <t>ORD016</t>
  </si>
  <si>
    <t>24-01-2024</t>
  </si>
  <si>
    <t>Laptop</t>
  </si>
  <si>
    <t>ORD017</t>
  </si>
  <si>
    <t>22-03-2024</t>
  </si>
  <si>
    <t>ORD018</t>
  </si>
  <si>
    <t>03-06-2024</t>
  </si>
  <si>
    <t>ORD019</t>
  </si>
  <si>
    <t>27-08-2024</t>
  </si>
  <si>
    <t>ORD020</t>
  </si>
  <si>
    <t>14-09-2024</t>
  </si>
  <si>
    <t>Sep</t>
  </si>
  <si>
    <t>ORD021</t>
  </si>
  <si>
    <t>20-07-2024</t>
  </si>
  <si>
    <t>ORD022</t>
  </si>
  <si>
    <t>26-08-2024</t>
  </si>
  <si>
    <t>ORD023</t>
  </si>
  <si>
    <t>27-03-2024</t>
  </si>
  <si>
    <t>ORD024</t>
  </si>
  <si>
    <t>12-04-2024</t>
  </si>
  <si>
    <t>ORD025</t>
  </si>
  <si>
    <t>05-03-2024</t>
  </si>
  <si>
    <t>ORD026</t>
  </si>
  <si>
    <t>14-10-2024</t>
  </si>
  <si>
    <t>ORD027</t>
  </si>
  <si>
    <t>30-10-2024</t>
  </si>
  <si>
    <t>ORD028</t>
  </si>
  <si>
    <t>25-09-2024</t>
  </si>
  <si>
    <t>ORD029</t>
  </si>
  <si>
    <t>09-02-2024</t>
  </si>
  <si>
    <t>Feb</t>
  </si>
  <si>
    <t>ORD030</t>
  </si>
  <si>
    <t>23-10-2024</t>
  </si>
  <si>
    <t>ORD031</t>
  </si>
  <si>
    <t>13-07-2024</t>
  </si>
  <si>
    <t>ORD032</t>
  </si>
  <si>
    <t>13-09-2024</t>
  </si>
  <si>
    <t>ORD033</t>
  </si>
  <si>
    <t>12-03-2024</t>
  </si>
  <si>
    <t>ORD034</t>
  </si>
  <si>
    <t>11-02-2024</t>
  </si>
  <si>
    <t>ORD035</t>
  </si>
  <si>
    <t>22-01-2024</t>
  </si>
  <si>
    <t>ORD036</t>
  </si>
  <si>
    <t>ORD037</t>
  </si>
  <si>
    <t>13-02-2024</t>
  </si>
  <si>
    <t>ORD038</t>
  </si>
  <si>
    <t>28-09-2024</t>
  </si>
  <si>
    <t>ORD039</t>
  </si>
  <si>
    <t>06-07-2024</t>
  </si>
  <si>
    <t>ORD040</t>
  </si>
  <si>
    <t>ORD041</t>
  </si>
  <si>
    <t>21-08-2024</t>
  </si>
  <si>
    <t>ORD042</t>
  </si>
  <si>
    <t>14-03-2024</t>
  </si>
  <si>
    <t>ORD043</t>
  </si>
  <si>
    <t>18-01-2024</t>
  </si>
  <si>
    <t>ORD044</t>
  </si>
  <si>
    <t>24-05-2024</t>
  </si>
  <si>
    <t>ORD045</t>
  </si>
  <si>
    <t>23-12-2024</t>
  </si>
  <si>
    <t>Dec</t>
  </si>
  <si>
    <t>ORD046</t>
  </si>
  <si>
    <t>02-11-2024</t>
  </si>
  <si>
    <t>ORD047</t>
  </si>
  <si>
    <t>06-12-2024</t>
  </si>
  <si>
    <t>ORD048</t>
  </si>
  <si>
    <t>ORD049</t>
  </si>
  <si>
    <t>29-03-2024</t>
  </si>
  <si>
    <t>ORD050</t>
  </si>
  <si>
    <t>ORD051</t>
  </si>
  <si>
    <t>07-08-2024</t>
  </si>
  <si>
    <t>ORD052</t>
  </si>
  <si>
    <t>06-04-2024</t>
  </si>
  <si>
    <t>ORD053</t>
  </si>
  <si>
    <t>ORD054</t>
  </si>
  <si>
    <t>09-10-2024</t>
  </si>
  <si>
    <t>ORD055</t>
  </si>
  <si>
    <t>14-12-2024</t>
  </si>
  <si>
    <t>ORD056</t>
  </si>
  <si>
    <t>26-12-2024</t>
  </si>
  <si>
    <t>ORD057</t>
  </si>
  <si>
    <t>07-03-2024</t>
  </si>
  <si>
    <t>ORD058</t>
  </si>
  <si>
    <t>04-09-2024</t>
  </si>
  <si>
    <t>ORD059</t>
  </si>
  <si>
    <t>24-12-2024</t>
  </si>
  <si>
    <t>ORD060</t>
  </si>
  <si>
    <t>25-05-2024</t>
  </si>
  <si>
    <t>ORD061</t>
  </si>
  <si>
    <t>08-06-2024</t>
  </si>
  <si>
    <t>ORD062</t>
  </si>
  <si>
    <t>05-08-2024</t>
  </si>
  <si>
    <t>ORD063</t>
  </si>
  <si>
    <t>28-11-2024</t>
  </si>
  <si>
    <t>ORD064</t>
  </si>
  <si>
    <t>19-09-2024</t>
  </si>
  <si>
    <t>ORD065</t>
  </si>
  <si>
    <t>23-07-2024</t>
  </si>
  <si>
    <t>ORD066</t>
  </si>
  <si>
    <t>29-12-2024</t>
  </si>
  <si>
    <t>ORD067</t>
  </si>
  <si>
    <t>20-06-2024</t>
  </si>
  <si>
    <t>ORD068</t>
  </si>
  <si>
    <t>ORD069</t>
  </si>
  <si>
    <t>25-10-2024</t>
  </si>
  <si>
    <t>ORD070</t>
  </si>
  <si>
    <t>23-09-2024</t>
  </si>
  <si>
    <t>ORD071</t>
  </si>
  <si>
    <t>27-12-2024</t>
  </si>
  <si>
    <t>ORD072</t>
  </si>
  <si>
    <t>08-07-2024</t>
  </si>
  <si>
    <t>ORD073</t>
  </si>
  <si>
    <t>28-10-2024</t>
  </si>
  <si>
    <t>ORD074</t>
  </si>
  <si>
    <t>20-04-2024</t>
  </si>
  <si>
    <t>ORD075</t>
  </si>
  <si>
    <t>01-03-2024</t>
  </si>
  <si>
    <t>ORD076</t>
  </si>
  <si>
    <t>05-04-2024</t>
  </si>
  <si>
    <t>ORD077</t>
  </si>
  <si>
    <t>14-02-2024</t>
  </si>
  <si>
    <t>ORD078</t>
  </si>
  <si>
    <t>ORD079</t>
  </si>
  <si>
    <t>08-04-2024</t>
  </si>
  <si>
    <t>ORD080</t>
  </si>
  <si>
    <t>16-07-2024</t>
  </si>
  <si>
    <t>ORD081</t>
  </si>
  <si>
    <t>29-01-2024</t>
  </si>
  <si>
    <t>ORD082</t>
  </si>
  <si>
    <t>ORD083</t>
  </si>
  <si>
    <t>12-01-2024</t>
  </si>
  <si>
    <t>ORD084</t>
  </si>
  <si>
    <t>ORD085</t>
  </si>
  <si>
    <t>17-02-2024</t>
  </si>
  <si>
    <t>ORD086</t>
  </si>
  <si>
    <t>ORD087</t>
  </si>
  <si>
    <t>01-04-2024</t>
  </si>
  <si>
    <t>ORD088</t>
  </si>
  <si>
    <t>24-03-2024</t>
  </si>
  <si>
    <t>ORD089</t>
  </si>
  <si>
    <t>09-03-2024</t>
  </si>
  <si>
    <t>ORD090</t>
  </si>
  <si>
    <t>27-09-2024</t>
  </si>
  <si>
    <t>ORD091</t>
  </si>
  <si>
    <t>17-01-2024</t>
  </si>
  <si>
    <t>ORD092</t>
  </si>
  <si>
    <t>ORD093</t>
  </si>
  <si>
    <t>ORD094</t>
  </si>
  <si>
    <t>ORD095</t>
  </si>
  <si>
    <t>25-02-2024</t>
  </si>
  <si>
    <t>ORD096</t>
  </si>
  <si>
    <t>10-10-2024</t>
  </si>
  <si>
    <t>ORD097</t>
  </si>
  <si>
    <t>24-09-2024</t>
  </si>
  <si>
    <t>ORD098</t>
  </si>
  <si>
    <t>ORD099</t>
  </si>
  <si>
    <t>18-05-2024</t>
  </si>
  <si>
    <t>ORD100</t>
  </si>
  <si>
    <t>ORD101</t>
  </si>
  <si>
    <t>17-03-2024</t>
  </si>
  <si>
    <t>ORD102</t>
  </si>
  <si>
    <t>04-02-2024</t>
  </si>
  <si>
    <t>ORD103</t>
  </si>
  <si>
    <t>17-09-2024</t>
  </si>
  <si>
    <t>ORD104</t>
  </si>
  <si>
    <t>20-10-2024</t>
  </si>
  <si>
    <t>ORD105</t>
  </si>
  <si>
    <t>02-07-2024</t>
  </si>
  <si>
    <t>ORD106</t>
  </si>
  <si>
    <t>ORD107</t>
  </si>
  <si>
    <t>11-10-2024</t>
  </si>
  <si>
    <t>ORD108</t>
  </si>
  <si>
    <t>05-11-2024</t>
  </si>
  <si>
    <t>ORD109</t>
  </si>
  <si>
    <t>12-12-2024</t>
  </si>
  <si>
    <t>ORD110</t>
  </si>
  <si>
    <t>03-12-2024</t>
  </si>
  <si>
    <t>ORD111</t>
  </si>
  <si>
    <t>ORD112</t>
  </si>
  <si>
    <t>22-02-2024</t>
  </si>
  <si>
    <t>ORD113</t>
  </si>
  <si>
    <t>17-10-2024</t>
  </si>
  <si>
    <t>ORD114</t>
  </si>
  <si>
    <t>ORD115</t>
  </si>
  <si>
    <t>ORD116</t>
  </si>
  <si>
    <t>ORD117</t>
  </si>
  <si>
    <t>ORD118</t>
  </si>
  <si>
    <t>09-06-2024</t>
  </si>
  <si>
    <t>ORD119</t>
  </si>
  <si>
    <t>15-02-2024</t>
  </si>
  <si>
    <t>ORD120</t>
  </si>
  <si>
    <t>11-04-2024</t>
  </si>
  <si>
    <t>ORD121</t>
  </si>
  <si>
    <t>09-08-2024</t>
  </si>
  <si>
    <t>ORD122</t>
  </si>
  <si>
    <t>08-12-2024</t>
  </si>
  <si>
    <t>ORD123</t>
  </si>
  <si>
    <t>21-06-2024</t>
  </si>
  <si>
    <t>ORD124</t>
  </si>
  <si>
    <t>26-11-2024</t>
  </si>
  <si>
    <t>ORD125</t>
  </si>
  <si>
    <t>28-12-2024</t>
  </si>
  <si>
    <t>ORD126</t>
  </si>
  <si>
    <t>04-12-2024</t>
  </si>
  <si>
    <t>ORD127</t>
  </si>
  <si>
    <t>10-09-2024</t>
  </si>
  <si>
    <t>ORD128</t>
  </si>
  <si>
    <t>27-02-2024</t>
  </si>
  <si>
    <t>ORD129</t>
  </si>
  <si>
    <t>04-07-2024</t>
  </si>
  <si>
    <t>ORD130</t>
  </si>
  <si>
    <t>ORD131</t>
  </si>
  <si>
    <t>ORD132</t>
  </si>
  <si>
    <t>17-11-2024</t>
  </si>
  <si>
    <t>ORD133</t>
  </si>
  <si>
    <t>15-10-2024</t>
  </si>
  <si>
    <t>ORD134</t>
  </si>
  <si>
    <t>ORD135</t>
  </si>
  <si>
    <t>09-11-2024</t>
  </si>
  <si>
    <t>ORD136</t>
  </si>
  <si>
    <t>ORD137</t>
  </si>
  <si>
    <t>28-08-2024</t>
  </si>
  <si>
    <t>ORD138</t>
  </si>
  <si>
    <t>ORD139</t>
  </si>
  <si>
    <t>ORD140</t>
  </si>
  <si>
    <t>ORD141</t>
  </si>
  <si>
    <t>ORD142</t>
  </si>
  <si>
    <t>ORD143</t>
  </si>
  <si>
    <t>17-08-2024</t>
  </si>
  <si>
    <t>ORD144</t>
  </si>
  <si>
    <t>ORD145</t>
  </si>
  <si>
    <t>18-02-2024</t>
  </si>
  <si>
    <t>ORD146</t>
  </si>
  <si>
    <t>ORD147</t>
  </si>
  <si>
    <t>06-09-2024</t>
  </si>
  <si>
    <t>ORD148</t>
  </si>
  <si>
    <t>31-01-2024</t>
  </si>
  <si>
    <t>ORD149</t>
  </si>
  <si>
    <t>07-09-2024</t>
  </si>
  <si>
    <t>ORD150</t>
  </si>
  <si>
    <t>18-09-2024</t>
  </si>
  <si>
    <t>ORD151</t>
  </si>
  <si>
    <t>31-07-2024</t>
  </si>
  <si>
    <t>ORD152</t>
  </si>
  <si>
    <t>ORD153</t>
  </si>
  <si>
    <t>16-03-2024</t>
  </si>
  <si>
    <t>ORD154</t>
  </si>
  <si>
    <t>ORD155</t>
  </si>
  <si>
    <t>15-05-2024</t>
  </si>
  <si>
    <t>ORD156</t>
  </si>
  <si>
    <t>ORD157</t>
  </si>
  <si>
    <t>25-04-2024</t>
  </si>
  <si>
    <t>ORD158</t>
  </si>
  <si>
    <t>07-05-2024</t>
  </si>
  <si>
    <t>ORD159</t>
  </si>
  <si>
    <t>13-10-2024</t>
  </si>
  <si>
    <t>ORD160</t>
  </si>
  <si>
    <t>ORD161</t>
  </si>
  <si>
    <t>30-01-2024</t>
  </si>
  <si>
    <t>ORD162</t>
  </si>
  <si>
    <t>11-11-2024</t>
  </si>
  <si>
    <t>ORD163</t>
  </si>
  <si>
    <t>ORD164</t>
  </si>
  <si>
    <t>23-01-2024</t>
  </si>
  <si>
    <t>ORD165</t>
  </si>
  <si>
    <t>28-01-2024</t>
  </si>
  <si>
    <t>ORD166</t>
  </si>
  <si>
    <t>04-03-2024</t>
  </si>
  <si>
    <t>ORD167</t>
  </si>
  <si>
    <t>02-04-2024</t>
  </si>
  <si>
    <t>ORD168</t>
  </si>
  <si>
    <t>07-01-2024</t>
  </si>
  <si>
    <t>ORD169</t>
  </si>
  <si>
    <t>ORD170</t>
  </si>
  <si>
    <t>31-05-2024</t>
  </si>
  <si>
    <t>ORD171</t>
  </si>
  <si>
    <t>15-01-2024</t>
  </si>
  <si>
    <t>ORD172</t>
  </si>
  <si>
    <t>ORD173</t>
  </si>
  <si>
    <t>18-11-2024</t>
  </si>
  <si>
    <t>ORD174</t>
  </si>
  <si>
    <t>ORD175</t>
  </si>
  <si>
    <t>ORD176</t>
  </si>
  <si>
    <t>ORD177</t>
  </si>
  <si>
    <t>13-12-2024</t>
  </si>
  <si>
    <t>ORD178</t>
  </si>
  <si>
    <t>ORD179</t>
  </si>
  <si>
    <t>01-09-2024</t>
  </si>
  <si>
    <t>ORD180</t>
  </si>
  <si>
    <t>12-08-2024</t>
  </si>
  <si>
    <t>ORD181</t>
  </si>
  <si>
    <t>ORD182</t>
  </si>
  <si>
    <t>23-05-2024</t>
  </si>
  <si>
    <t>ORD183</t>
  </si>
  <si>
    <t>ORD184</t>
  </si>
  <si>
    <t>30-08-2024</t>
  </si>
  <si>
    <t>ORD185</t>
  </si>
  <si>
    <t>26-09-2024</t>
  </si>
  <si>
    <t>ORD186</t>
  </si>
  <si>
    <t>ORD187</t>
  </si>
  <si>
    <t>06-02-2024</t>
  </si>
  <si>
    <t>ORD188</t>
  </si>
  <si>
    <t>01-11-2024</t>
  </si>
  <si>
    <t>ORD189</t>
  </si>
  <si>
    <t>30-05-2024</t>
  </si>
  <si>
    <t>ORD190</t>
  </si>
  <si>
    <t>05-01-2024</t>
  </si>
  <si>
    <t>ORD191</t>
  </si>
  <si>
    <t>06-03-2024</t>
  </si>
  <si>
    <t>ORD192</t>
  </si>
  <si>
    <t>20-11-2024</t>
  </si>
  <si>
    <t>ORD193</t>
  </si>
  <si>
    <t>21-04-2024</t>
  </si>
  <si>
    <t>ORD194</t>
  </si>
  <si>
    <t>18-06-2024</t>
  </si>
  <si>
    <t>ORD195</t>
  </si>
  <si>
    <t>ORD196</t>
  </si>
  <si>
    <t>09-07-2024</t>
  </si>
  <si>
    <t>ORD197</t>
  </si>
  <si>
    <t>ORD198</t>
  </si>
  <si>
    <t>22-10-2024</t>
  </si>
  <si>
    <t>ORD199</t>
  </si>
  <si>
    <t>03-03-2024</t>
  </si>
  <si>
    <t>ORD200</t>
  </si>
  <si>
    <t>22-08-2024</t>
  </si>
  <si>
    <t>ORD201</t>
  </si>
  <si>
    <t>05-06-2024</t>
  </si>
  <si>
    <t>ORD202</t>
  </si>
  <si>
    <t>24-06-2024</t>
  </si>
  <si>
    <t>ORD203</t>
  </si>
  <si>
    <t>08-01-2024</t>
  </si>
  <si>
    <t>ORD204</t>
  </si>
  <si>
    <t>12-10-2024</t>
  </si>
  <si>
    <t>ORD205</t>
  </si>
  <si>
    <t>ORD206</t>
  </si>
  <si>
    <t>24-08-2024</t>
  </si>
  <si>
    <t>ORD207</t>
  </si>
  <si>
    <t>ORD208</t>
  </si>
  <si>
    <t>ORD209</t>
  </si>
  <si>
    <t>ORD210</t>
  </si>
  <si>
    <t>05-05-2024</t>
  </si>
  <si>
    <t>ORD211</t>
  </si>
  <si>
    <t>ORD212</t>
  </si>
  <si>
    <t>ORD213</t>
  </si>
  <si>
    <t>ORD214</t>
  </si>
  <si>
    <t>19-04-2024</t>
  </si>
  <si>
    <t>ORD215</t>
  </si>
  <si>
    <t>ORD216</t>
  </si>
  <si>
    <t>05-10-2024</t>
  </si>
  <si>
    <t>ORD217</t>
  </si>
  <si>
    <t>ORD218</t>
  </si>
  <si>
    <t>08-10-2024</t>
  </si>
  <si>
    <t>ORD219</t>
  </si>
  <si>
    <t>25-11-2024</t>
  </si>
  <si>
    <t>ORD220</t>
  </si>
  <si>
    <t>19-07-2024</t>
  </si>
  <si>
    <t>ORD221</t>
  </si>
  <si>
    <t>ORD222</t>
  </si>
  <si>
    <t>26-04-2024</t>
  </si>
  <si>
    <t>ORD223</t>
  </si>
  <si>
    <t>ORD224</t>
  </si>
  <si>
    <t>ORD225</t>
  </si>
  <si>
    <t>14-04-2024</t>
  </si>
  <si>
    <t>ORD226</t>
  </si>
  <si>
    <t>26-01-2024</t>
  </si>
  <si>
    <t>ORD227</t>
  </si>
  <si>
    <t>ORD228</t>
  </si>
  <si>
    <t>ORD229</t>
  </si>
  <si>
    <t>12-09-2024</t>
  </si>
  <si>
    <t>ORD230</t>
  </si>
  <si>
    <t>ORD231</t>
  </si>
  <si>
    <t>ORD232</t>
  </si>
  <si>
    <t>11-05-2024</t>
  </si>
  <si>
    <t>ORD233</t>
  </si>
  <si>
    <t>ORD234</t>
  </si>
  <si>
    <t>ORD235</t>
  </si>
  <si>
    <t>ORD236</t>
  </si>
  <si>
    <t>ORD237</t>
  </si>
  <si>
    <t>04-05-2024</t>
  </si>
  <si>
    <t>ORD238</t>
  </si>
  <si>
    <t>10-05-2024</t>
  </si>
  <si>
    <t>ORD239</t>
  </si>
  <si>
    <t>ORD240</t>
  </si>
  <si>
    <t>ORD241</t>
  </si>
  <si>
    <t>02-02-2024</t>
  </si>
  <si>
    <t>ORD242</t>
  </si>
  <si>
    <t>06-06-2024</t>
  </si>
  <si>
    <t>ORD243</t>
  </si>
  <si>
    <t>27-11-2024</t>
  </si>
  <si>
    <t>ORD244</t>
  </si>
  <si>
    <t>ORD245</t>
  </si>
  <si>
    <t>28-03-2024</t>
  </si>
  <si>
    <t>ORD246</t>
  </si>
  <si>
    <t>ORD247</t>
  </si>
  <si>
    <t>ORD248</t>
  </si>
  <si>
    <t>21-01-2024</t>
  </si>
  <si>
    <t>ORD249</t>
  </si>
  <si>
    <t>15-07-2024</t>
  </si>
  <si>
    <t>ORD250</t>
  </si>
  <si>
    <t>ORD251</t>
  </si>
  <si>
    <t>ORD252</t>
  </si>
  <si>
    <t>04-11-2024</t>
  </si>
  <si>
    <t>ORD253</t>
  </si>
  <si>
    <t>ORD254</t>
  </si>
  <si>
    <t>ORD255</t>
  </si>
  <si>
    <t>09-05-2024</t>
  </si>
  <si>
    <t>ORD256</t>
  </si>
  <si>
    <t>11-06-2024</t>
  </si>
  <si>
    <t>ORD257</t>
  </si>
  <si>
    <t>ORD258</t>
  </si>
  <si>
    <t>ORD259</t>
  </si>
  <si>
    <t>14-08-2024</t>
  </si>
  <si>
    <t>ORD260</t>
  </si>
  <si>
    <t>ORD261</t>
  </si>
  <si>
    <t>ORD262</t>
  </si>
  <si>
    <t>12-07-2024</t>
  </si>
  <si>
    <t>ORD263</t>
  </si>
  <si>
    <t>03-04-2024</t>
  </si>
  <si>
    <t>ORD264</t>
  </si>
  <si>
    <t>16-05-2024</t>
  </si>
  <si>
    <t>ORD265</t>
  </si>
  <si>
    <t>08-09-2024</t>
  </si>
  <si>
    <t>ORD266</t>
  </si>
  <si>
    <t>10-06-2024</t>
  </si>
  <si>
    <t>ORD267</t>
  </si>
  <si>
    <t>ORD268</t>
  </si>
  <si>
    <t>27-05-2024</t>
  </si>
  <si>
    <t>ORD269</t>
  </si>
  <si>
    <t>ORD270</t>
  </si>
  <si>
    <t>19-06-2024</t>
  </si>
  <si>
    <t>ORD271</t>
  </si>
  <si>
    <t>10-08-2024</t>
  </si>
  <si>
    <t>ORD272</t>
  </si>
  <si>
    <t>18-04-2024</t>
  </si>
  <si>
    <t>ORD273</t>
  </si>
  <si>
    <t>01-10-2024</t>
  </si>
  <si>
    <t>ORD274</t>
  </si>
  <si>
    <t>20-08-2024</t>
  </si>
  <si>
    <t>ORD275</t>
  </si>
  <si>
    <t>ORD276</t>
  </si>
  <si>
    <t>15-03-2024</t>
  </si>
  <si>
    <t>ORD277</t>
  </si>
  <si>
    <t>ORD278</t>
  </si>
  <si>
    <t>17-06-2024</t>
  </si>
  <si>
    <t>ORD279</t>
  </si>
  <si>
    <t>ORD280</t>
  </si>
  <si>
    <t>07-10-2024</t>
  </si>
  <si>
    <t>ORD281</t>
  </si>
  <si>
    <t>16-01-2024</t>
  </si>
  <si>
    <t>ORD282</t>
  </si>
  <si>
    <t>29-08-2024</t>
  </si>
  <si>
    <t>ORD283</t>
  </si>
  <si>
    <t>01-05-2024</t>
  </si>
  <si>
    <t>ORD284</t>
  </si>
  <si>
    <t>06-01-2024</t>
  </si>
  <si>
    <t>ORD285</t>
  </si>
  <si>
    <t>18-03-2024</t>
  </si>
  <si>
    <t>ORD286</t>
  </si>
  <si>
    <t>ORD287</t>
  </si>
  <si>
    <t>ORD288</t>
  </si>
  <si>
    <t>06-05-2024</t>
  </si>
  <si>
    <t>ORD289</t>
  </si>
  <si>
    <t>ORD290</t>
  </si>
  <si>
    <t>ORD291</t>
  </si>
  <si>
    <t>ORD292</t>
  </si>
  <si>
    <t>ORD293</t>
  </si>
  <si>
    <t>ORD294</t>
  </si>
  <si>
    <t>ORD295</t>
  </si>
  <si>
    <t>30-06-2024</t>
  </si>
  <si>
    <t>ORD296</t>
  </si>
  <si>
    <t>ORD297</t>
  </si>
  <si>
    <t>21-05-2024</t>
  </si>
  <si>
    <t>ORD298</t>
  </si>
  <si>
    <t>23-11-2024</t>
  </si>
  <si>
    <t>ORD299</t>
  </si>
  <si>
    <t>08-03-2024</t>
  </si>
  <si>
    <t>ORD300</t>
  </si>
  <si>
    <t>ORD301</t>
  </si>
  <si>
    <t>16-12-2024</t>
  </si>
  <si>
    <t>ORD302</t>
  </si>
  <si>
    <t>25-03-2024</t>
  </si>
  <si>
    <t>ORD303</t>
  </si>
  <si>
    <t>20-12-2024</t>
  </si>
  <si>
    <t>ORD304</t>
  </si>
  <si>
    <t>ORD305</t>
  </si>
  <si>
    <t>02-06-2024</t>
  </si>
  <si>
    <t>ORD306</t>
  </si>
  <si>
    <t>ORD307</t>
  </si>
  <si>
    <t>16-08-2024</t>
  </si>
  <si>
    <t>ORD308</t>
  </si>
  <si>
    <t>11-12-2024</t>
  </si>
  <si>
    <t>ORD309</t>
  </si>
  <si>
    <t>21-11-2024</t>
  </si>
  <si>
    <t>ORD310</t>
  </si>
  <si>
    <t>31-10-2024</t>
  </si>
  <si>
    <t>ORD311</t>
  </si>
  <si>
    <t>ORD312</t>
  </si>
  <si>
    <t>ORD313</t>
  </si>
  <si>
    <t>22-11-2024</t>
  </si>
  <si>
    <t>ORD314</t>
  </si>
  <si>
    <t>ORD315</t>
  </si>
  <si>
    <t>ORD316</t>
  </si>
  <si>
    <t>ORD317</t>
  </si>
  <si>
    <t>ORD318</t>
  </si>
  <si>
    <t>10-04-2024</t>
  </si>
  <si>
    <t>ORD319</t>
  </si>
  <si>
    <t>ORD320</t>
  </si>
  <si>
    <t>19-12-2024</t>
  </si>
  <si>
    <t>ORD321</t>
  </si>
  <si>
    <t>03-08-2024</t>
  </si>
  <si>
    <t>ORD322</t>
  </si>
  <si>
    <t>ORD323</t>
  </si>
  <si>
    <t>ORD324</t>
  </si>
  <si>
    <t>ORD325</t>
  </si>
  <si>
    <t>ORD326</t>
  </si>
  <si>
    <t>ORD327</t>
  </si>
  <si>
    <t>ORD328</t>
  </si>
  <si>
    <t>ORD329</t>
  </si>
  <si>
    <t>22-07-2024</t>
  </si>
  <si>
    <t>ORD330</t>
  </si>
  <si>
    <t>19-05-2024</t>
  </si>
  <si>
    <t>ORD331</t>
  </si>
  <si>
    <t>ORD332</t>
  </si>
  <si>
    <t>ORD333</t>
  </si>
  <si>
    <t>ORD334</t>
  </si>
  <si>
    <t>ORD335</t>
  </si>
  <si>
    <t>23-03-2024</t>
  </si>
  <si>
    <t>ORD336</t>
  </si>
  <si>
    <t>ORD337</t>
  </si>
  <si>
    <t>ORD338</t>
  </si>
  <si>
    <t>ORD339</t>
  </si>
  <si>
    <t>29-06-2024</t>
  </si>
  <si>
    <t>ORD340</t>
  </si>
  <si>
    <t>ORD341</t>
  </si>
  <si>
    <t>ORD342</t>
  </si>
  <si>
    <t>26-07-2024</t>
  </si>
  <si>
    <t>ORD343</t>
  </si>
  <si>
    <t>ORD344</t>
  </si>
  <si>
    <t>ORD345</t>
  </si>
  <si>
    <t>ORD346</t>
  </si>
  <si>
    <t>08-05-2024</t>
  </si>
  <si>
    <t>ORD347</t>
  </si>
  <si>
    <t>ORD348</t>
  </si>
  <si>
    <t>ORD349</t>
  </si>
  <si>
    <t>ORD350</t>
  </si>
  <si>
    <t>22-04-2024</t>
  </si>
  <si>
    <t>ORD351</t>
  </si>
  <si>
    <t>ORD352</t>
  </si>
  <si>
    <t>22-12-2024</t>
  </si>
  <si>
    <t>ORD353</t>
  </si>
  <si>
    <t>ORD354</t>
  </si>
  <si>
    <t>ORD355</t>
  </si>
  <si>
    <t>ORD356</t>
  </si>
  <si>
    <t>13-03-2024</t>
  </si>
  <si>
    <t>ORD357</t>
  </si>
  <si>
    <t>ORD358</t>
  </si>
  <si>
    <t>ORD359</t>
  </si>
  <si>
    <t>ORD360</t>
  </si>
  <si>
    <t>ORD361</t>
  </si>
  <si>
    <t>ORD362</t>
  </si>
  <si>
    <t>ORD363</t>
  </si>
  <si>
    <t>ORD364</t>
  </si>
  <si>
    <t>ORD365</t>
  </si>
  <si>
    <t>29-02-2024</t>
  </si>
  <si>
    <t>ORD366</t>
  </si>
  <si>
    <t>ORD367</t>
  </si>
  <si>
    <t>ORD368</t>
  </si>
  <si>
    <t>ORD369</t>
  </si>
  <si>
    <t>ORD370</t>
  </si>
  <si>
    <t>ORD371</t>
  </si>
  <si>
    <t>ORD372</t>
  </si>
  <si>
    <t>29-11-2024</t>
  </si>
  <si>
    <t>ORD373</t>
  </si>
  <si>
    <t>ORD374</t>
  </si>
  <si>
    <t>13-05-2024</t>
  </si>
  <si>
    <t>ORD375</t>
  </si>
  <si>
    <t>ORD376</t>
  </si>
  <si>
    <t>ORD377</t>
  </si>
  <si>
    <t>ORD378</t>
  </si>
  <si>
    <t>02-10-2024</t>
  </si>
  <si>
    <t>ORD379</t>
  </si>
  <si>
    <t>ORD380</t>
  </si>
  <si>
    <t>ORD381</t>
  </si>
  <si>
    <t>ORD382</t>
  </si>
  <si>
    <t>ORD383</t>
  </si>
  <si>
    <t>ORD384</t>
  </si>
  <si>
    <t>ORD385</t>
  </si>
  <si>
    <t>03-10-2024</t>
  </si>
  <si>
    <t>ORD386</t>
  </si>
  <si>
    <t>15-08-2024</t>
  </si>
  <si>
    <t>ORD387</t>
  </si>
  <si>
    <t>ORD388</t>
  </si>
  <si>
    <t>04-10-2024</t>
  </si>
  <si>
    <t>ORD389</t>
  </si>
  <si>
    <t>21-02-2024</t>
  </si>
  <si>
    <t>ORD390</t>
  </si>
  <si>
    <t>ORD391</t>
  </si>
  <si>
    <t>21-12-2024</t>
  </si>
  <si>
    <t>ORD392</t>
  </si>
  <si>
    <t>06-10-2024</t>
  </si>
  <si>
    <t>ORD393</t>
  </si>
  <si>
    <t>15-09-2024</t>
  </si>
  <si>
    <t>ORD394</t>
  </si>
  <si>
    <t>ORD395</t>
  </si>
  <si>
    <t>20-05-2024</t>
  </si>
  <si>
    <t>ORD396</t>
  </si>
  <si>
    <t>20-09-2024</t>
  </si>
  <si>
    <t>ORD397</t>
  </si>
  <si>
    <t>26-06-2024</t>
  </si>
  <si>
    <t>ORD398</t>
  </si>
  <si>
    <t>ORD399</t>
  </si>
  <si>
    <t>ORD400</t>
  </si>
  <si>
    <t>Profit %</t>
  </si>
  <si>
    <t>Row Labels</t>
  </si>
  <si>
    <t>Grand Total</t>
  </si>
  <si>
    <t>Sum of Revenue</t>
  </si>
  <si>
    <t>Total Revenue</t>
  </si>
  <si>
    <t>Total Profit</t>
  </si>
  <si>
    <t>Average of Profit %</t>
  </si>
  <si>
    <t>Total Orders</t>
  </si>
  <si>
    <t>(All)</t>
  </si>
  <si>
    <t>Sales &amp; Profit Performance Dashboard</t>
  </si>
  <si>
    <t>Insights:</t>
  </si>
  <si>
    <t>1. East region generates highest revenue</t>
  </si>
  <si>
    <t>2. Laptop contributes highest profit</t>
  </si>
  <si>
    <t>3. Sales dip observed around June</t>
  </si>
  <si>
    <t>4. Headphones have highest profit %</t>
  </si>
  <si>
    <t>5. High revenue products don’t always have high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</si>
</sst>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1" x14ac:knownFonts="1">
    <font>
      <sz val="11"/>
      <color theme="1"/>
      <name val="Calibri"/>
      <family val="2"/>
      <scheme val="minor"/>
    </font>
    <font>
      <b/>
      <sz val="11"/>
      <color theme="1"/>
      <name val="Calibri"/>
      <family val="2"/>
      <scheme val="minor"/>
    </font>
    <font>
      <sz val="14"/>
      <color theme="1"/>
      <name val="Calibri"/>
      <family val="2"/>
      <scheme val="minor"/>
    </font>
    <font>
      <b/>
      <u/>
      <sz val="28"/>
      <color theme="1"/>
      <name val="Times New Roman"/>
      <family val="1"/>
    </font>
    <font>
      <sz val="28"/>
      <color theme="1"/>
      <name val="Times New Roman"/>
      <family val="1"/>
    </font>
    <font>
      <sz val="28"/>
      <color theme="1"/>
      <name val="Calibri"/>
      <family val="2"/>
      <scheme val="minor"/>
    </font>
    <font>
      <b/>
      <sz val="20"/>
      <color theme="1"/>
      <name val="Times New Roman"/>
      <family val="1"/>
    </font>
    <font>
      <b/>
      <sz val="20"/>
      <color theme="1"/>
      <name val="Calibri"/>
      <family val="2"/>
      <scheme val="minor"/>
    </font>
    <font>
      <b/>
      <u/>
      <sz val="14"/>
      <color theme="1"/>
      <name val="Times New Roman"/>
      <family val="1"/>
    </font>
    <font>
      <sz val="11"/>
      <color theme="1"/>
      <name val="Times New Roman"/>
      <family val="1"/>
    </font>
    <font>
      <sz val="14"/>
      <color theme="1"/>
      <name val="Times New Roman"/>
      <family val="1"/>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64" fontId="1" fillId="0" borderId="0" xfId="0" applyNumberFormat="1" applyFont="1"/>
    <xf numFmtId="164" fontId="0" fillId="0" borderId="0" xfId="0" applyNumberFormat="1"/>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2" borderId="0" xfId="0" applyFill="1"/>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3" borderId="0" xfId="0" applyFont="1" applyFill="1" applyAlignment="1">
      <alignment horizontal="centerContinuous"/>
    </xf>
    <xf numFmtId="0" fontId="7" fillId="3" borderId="0" xfId="0" applyFont="1" applyFill="1" applyAlignment="1">
      <alignment horizontal="centerContinuous"/>
    </xf>
    <xf numFmtId="164" fontId="6" fillId="3" borderId="0" xfId="0" applyNumberFormat="1" applyFont="1" applyFill="1" applyAlignment="1">
      <alignment horizontal="centerContinuous"/>
    </xf>
    <xf numFmtId="0" fontId="0" fillId="3" borderId="0" xfId="0" applyFill="1"/>
    <xf numFmtId="0" fontId="8" fillId="0" borderId="0" xfId="0" applyFont="1"/>
    <xf numFmtId="0" fontId="9" fillId="0" borderId="0" xfId="0" applyFont="1"/>
    <xf numFmtId="0" fontId="10" fillId="0" borderId="0" xfId="0" applyFont="1" applyAlignment="1">
      <alignment horizontal="left"/>
    </xf>
    <xf numFmtId="0" fontId="10" fillId="0" borderId="0" xfId="0" applyFont="1"/>
  </cellXfs>
  <cellStyles count="1">
    <cellStyle name="Normal" xfId="0" builtinId="0"/>
  </cellStyles>
  <dxfs count="7">
    <dxf>
      <numFmt numFmtId="14" formatCode="0.00%"/>
    </dxf>
    <dxf>
      <numFmt numFmtId="164" formatCode="&quot;₹&quot;\ #,##0.00"/>
    </dxf>
    <dxf>
      <numFmt numFmtId="164" formatCode="&quot;₹&quot;\ #,##0.00"/>
    </dxf>
    <dxf>
      <numFmt numFmtId="164" formatCode="&quot;₹&quot;\ #,##0.00"/>
    </dxf>
    <dxf>
      <numFmt numFmtId="164" formatCode="&quot;₹&quot;\ #,##0.00"/>
    </dxf>
    <dxf>
      <numFmt numFmtId="164" formatCode="&quot;₹&quot;\ #,##0.00"/>
    </dxf>
    <dxf>
      <font>
        <b/>
        <i val="0"/>
        <strike val="0"/>
        <condense val="0"/>
        <extend val="0"/>
        <outline val="0"/>
        <shadow val="0"/>
        <u val="none"/>
        <vertAlign val="baseline"/>
        <sz val="11"/>
        <color theme="1"/>
        <name val="Calibri"/>
        <family val="2"/>
        <scheme val="minor"/>
      </font>
      <numFmt numFmtId="164" formatCode="&quot;₹&quot;\ #,##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80555555555556"/>
          <c:y val="0.26328484981044037"/>
          <c:w val="0.39067585301837277"/>
          <c:h val="0.6293157626130067"/>
        </c:manualLayout>
      </c:layout>
      <c:barChart>
        <c:barDir val="bar"/>
        <c:grouping val="clustered"/>
        <c:varyColors val="0"/>
        <c:ser>
          <c:idx val="0"/>
          <c:order val="0"/>
          <c:tx>
            <c:strRef>
              <c:f>'Pivot Table'!$B$4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East</c:v>
                </c:pt>
                <c:pt idx="1">
                  <c:v>North</c:v>
                </c:pt>
                <c:pt idx="2">
                  <c:v>South</c:v>
                </c:pt>
                <c:pt idx="3">
                  <c:v>West</c:v>
                </c:pt>
              </c:strCache>
            </c:strRef>
          </c:cat>
          <c:val>
            <c:numRef>
              <c:f>'Pivot Table'!$B$5:$B$9</c:f>
              <c:numCache>
                <c:formatCode>"₹"\ #,##0.00</c:formatCode>
                <c:ptCount val="4"/>
                <c:pt idx="0">
                  <c:v>13352000</c:v>
                </c:pt>
                <c:pt idx="1">
                  <c:v>11592000</c:v>
                </c:pt>
                <c:pt idx="2">
                  <c:v>11686000</c:v>
                </c:pt>
                <c:pt idx="3">
                  <c:v>11761000</c:v>
                </c:pt>
              </c:numCache>
            </c:numRef>
          </c:val>
          <c:extLst>
            <c:ext xmlns:c16="http://schemas.microsoft.com/office/drawing/2014/chart" uri="{C3380CC4-5D6E-409C-BE32-E72D297353CC}">
              <c16:uniqueId val="{00000000-4929-4982-A791-38C8B86D33DF}"/>
            </c:ext>
          </c:extLst>
        </c:ser>
        <c:dLbls>
          <c:dLblPos val="outEnd"/>
          <c:showLegendKey val="0"/>
          <c:showVal val="1"/>
          <c:showCatName val="0"/>
          <c:showSerName val="0"/>
          <c:showPercent val="0"/>
          <c:showBubbleSize val="0"/>
        </c:dLbls>
        <c:gapWidth val="182"/>
        <c:axId val="1840778255"/>
        <c:axId val="1840771055"/>
      </c:barChart>
      <c:catAx>
        <c:axId val="184077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1055"/>
        <c:crosses val="autoZero"/>
        <c:auto val="1"/>
        <c:lblAlgn val="ctr"/>
        <c:lblOffset val="100"/>
        <c:noMultiLvlLbl val="0"/>
      </c:catAx>
      <c:valAx>
        <c:axId val="184077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Table'!$A$19:$A$24</c:f>
              <c:strCache>
                <c:ptCount val="5"/>
                <c:pt idx="0">
                  <c:v>Laptop</c:v>
                </c:pt>
                <c:pt idx="1">
                  <c:v>Phone</c:v>
                </c:pt>
                <c:pt idx="2">
                  <c:v>Tablet</c:v>
                </c:pt>
                <c:pt idx="3">
                  <c:v>Monitor</c:v>
                </c:pt>
                <c:pt idx="4">
                  <c:v>Headphones</c:v>
                </c:pt>
              </c:strCache>
            </c:strRef>
          </c:cat>
          <c:val>
            <c:numRef>
              <c:f>'Pivot Table'!$B$19:$B$24</c:f>
              <c:numCache>
                <c:formatCode>"₹"\ #,##0.00</c:formatCode>
                <c:ptCount val="5"/>
                <c:pt idx="0">
                  <c:v>3360000</c:v>
                </c:pt>
                <c:pt idx="1">
                  <c:v>2635000</c:v>
                </c:pt>
                <c:pt idx="2">
                  <c:v>2520000</c:v>
                </c:pt>
                <c:pt idx="3">
                  <c:v>2012000</c:v>
                </c:pt>
                <c:pt idx="4">
                  <c:v>362400</c:v>
                </c:pt>
              </c:numCache>
            </c:numRef>
          </c:val>
          <c:extLst>
            <c:ext xmlns:c16="http://schemas.microsoft.com/office/drawing/2014/chart" uri="{C3380CC4-5D6E-409C-BE32-E72D297353CC}">
              <c16:uniqueId val="{00000000-E722-4D04-AE13-427E48959565}"/>
            </c:ext>
          </c:extLst>
        </c:ser>
        <c:dLbls>
          <c:showLegendKey val="0"/>
          <c:showVal val="0"/>
          <c:showCatName val="0"/>
          <c:showSerName val="0"/>
          <c:showPercent val="0"/>
          <c:showBubbleSize val="0"/>
        </c:dLbls>
        <c:gapWidth val="219"/>
        <c:overlap val="-27"/>
        <c:axId val="1840792175"/>
        <c:axId val="1840775855"/>
      </c:barChart>
      <c:catAx>
        <c:axId val="18407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5855"/>
        <c:crosses val="autoZero"/>
        <c:auto val="1"/>
        <c:lblAlgn val="ctr"/>
        <c:lblOffset val="100"/>
        <c:noMultiLvlLbl val="0"/>
      </c:catAx>
      <c:valAx>
        <c:axId val="1840775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none"/>
          </c:marker>
          <c:cat>
            <c:strRef>
              <c:f>'Pivot Table'!$A$34:$A$46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Table'!$B$34:$B$46</c:f>
              <c:numCache>
                <c:formatCode>"₹"\ #,##0.00</c:formatCode>
                <c:ptCount val="12"/>
                <c:pt idx="0">
                  <c:v>4192000</c:v>
                </c:pt>
                <c:pt idx="1">
                  <c:v>3358000</c:v>
                </c:pt>
                <c:pt idx="2">
                  <c:v>4891000</c:v>
                </c:pt>
                <c:pt idx="3">
                  <c:v>3616000</c:v>
                </c:pt>
                <c:pt idx="4">
                  <c:v>3928000</c:v>
                </c:pt>
                <c:pt idx="5">
                  <c:v>2538000</c:v>
                </c:pt>
                <c:pt idx="6">
                  <c:v>5006000</c:v>
                </c:pt>
                <c:pt idx="7">
                  <c:v>4528000</c:v>
                </c:pt>
                <c:pt idx="8">
                  <c:v>4202000</c:v>
                </c:pt>
                <c:pt idx="9">
                  <c:v>3610000</c:v>
                </c:pt>
                <c:pt idx="10">
                  <c:v>3860000</c:v>
                </c:pt>
                <c:pt idx="11">
                  <c:v>4662000</c:v>
                </c:pt>
              </c:numCache>
            </c:numRef>
          </c:val>
          <c:smooth val="0"/>
          <c:extLst>
            <c:ext xmlns:c16="http://schemas.microsoft.com/office/drawing/2014/chart" uri="{C3380CC4-5D6E-409C-BE32-E72D297353CC}">
              <c16:uniqueId val="{00000000-0B72-49D2-A8B9-A0AFBB94B776}"/>
            </c:ext>
          </c:extLst>
        </c:ser>
        <c:dLbls>
          <c:showLegendKey val="0"/>
          <c:showVal val="0"/>
          <c:showCatName val="0"/>
          <c:showSerName val="0"/>
          <c:showPercent val="0"/>
          <c:showBubbleSize val="0"/>
        </c:dLbls>
        <c:smooth val="0"/>
        <c:axId val="1495450607"/>
        <c:axId val="1495448687"/>
      </c:lineChart>
      <c:catAx>
        <c:axId val="149545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48687"/>
        <c:crosses val="autoZero"/>
        <c:auto val="1"/>
        <c:lblAlgn val="ctr"/>
        <c:lblOffset val="100"/>
        <c:noMultiLvlLbl val="0"/>
      </c:catAx>
      <c:valAx>
        <c:axId val="1495448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solidFill>
              <a:schemeClr val="accent1"/>
            </a:solidFill>
            <a:ln>
              <a:noFill/>
            </a:ln>
            <a:effectLst/>
          </c:spPr>
          <c:invertIfNegative val="0"/>
          <c:cat>
            <c:strRef>
              <c:f>'Pivot Table'!$A$53:$A$58</c:f>
              <c:strCache>
                <c:ptCount val="5"/>
                <c:pt idx="0">
                  <c:v>Headphones</c:v>
                </c:pt>
                <c:pt idx="1">
                  <c:v>Laptop</c:v>
                </c:pt>
                <c:pt idx="2">
                  <c:v>Monitor</c:v>
                </c:pt>
                <c:pt idx="3">
                  <c:v>Phone</c:v>
                </c:pt>
                <c:pt idx="4">
                  <c:v>Tablet</c:v>
                </c:pt>
              </c:strCache>
            </c:strRef>
          </c:cat>
          <c:val>
            <c:numRef>
              <c:f>'Pivot Table'!$B$53:$B$58</c:f>
              <c:numCache>
                <c:formatCode>0.00%</c:formatCode>
                <c:ptCount val="5"/>
                <c:pt idx="0">
                  <c:v>0.39999999999999936</c:v>
                </c:pt>
                <c:pt idx="1">
                  <c:v>0.19999999999999979</c:v>
                </c:pt>
                <c:pt idx="2">
                  <c:v>0.26666666666666666</c:v>
                </c:pt>
                <c:pt idx="3">
                  <c:v>0.25</c:v>
                </c:pt>
                <c:pt idx="4">
                  <c:v>0.19999999999999971</c:v>
                </c:pt>
              </c:numCache>
            </c:numRef>
          </c:val>
          <c:extLst>
            <c:ext xmlns:c16="http://schemas.microsoft.com/office/drawing/2014/chart" uri="{C3380CC4-5D6E-409C-BE32-E72D297353CC}">
              <c16:uniqueId val="{00000000-FED0-4C20-9DF8-98B9FDBA5B5C}"/>
            </c:ext>
          </c:extLst>
        </c:ser>
        <c:dLbls>
          <c:showLegendKey val="0"/>
          <c:showVal val="0"/>
          <c:showCatName val="0"/>
          <c:showSerName val="0"/>
          <c:showPercent val="0"/>
          <c:showBubbleSize val="0"/>
        </c:dLbls>
        <c:gapWidth val="182"/>
        <c:axId val="100226703"/>
        <c:axId val="100227183"/>
      </c:barChart>
      <c:catAx>
        <c:axId val="10022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7183"/>
        <c:crosses val="autoZero"/>
        <c:auto val="1"/>
        <c:lblAlgn val="ctr"/>
        <c:lblOffset val="100"/>
        <c:noMultiLvlLbl val="0"/>
      </c:catAx>
      <c:valAx>
        <c:axId val="1002271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Table'!$B$34:$B$46</c:f>
              <c:numCache>
                <c:formatCode>"₹"\ #,##0.00</c:formatCode>
                <c:ptCount val="12"/>
                <c:pt idx="0">
                  <c:v>4192000</c:v>
                </c:pt>
                <c:pt idx="1">
                  <c:v>3358000</c:v>
                </c:pt>
                <c:pt idx="2">
                  <c:v>4891000</c:v>
                </c:pt>
                <c:pt idx="3">
                  <c:v>3616000</c:v>
                </c:pt>
                <c:pt idx="4">
                  <c:v>3928000</c:v>
                </c:pt>
                <c:pt idx="5">
                  <c:v>2538000</c:v>
                </c:pt>
                <c:pt idx="6">
                  <c:v>5006000</c:v>
                </c:pt>
                <c:pt idx="7">
                  <c:v>4528000</c:v>
                </c:pt>
                <c:pt idx="8">
                  <c:v>4202000</c:v>
                </c:pt>
                <c:pt idx="9">
                  <c:v>3610000</c:v>
                </c:pt>
                <c:pt idx="10">
                  <c:v>3860000</c:v>
                </c:pt>
                <c:pt idx="11">
                  <c:v>4662000</c:v>
                </c:pt>
              </c:numCache>
            </c:numRef>
          </c:val>
          <c:smooth val="0"/>
          <c:extLst>
            <c:ext xmlns:c16="http://schemas.microsoft.com/office/drawing/2014/chart" uri="{C3380CC4-5D6E-409C-BE32-E72D297353CC}">
              <c16:uniqueId val="{00000000-7C68-4AFF-B1A2-534ED14ECA5A}"/>
            </c:ext>
          </c:extLst>
        </c:ser>
        <c:dLbls>
          <c:dLblPos val="t"/>
          <c:showLegendKey val="0"/>
          <c:showVal val="1"/>
          <c:showCatName val="0"/>
          <c:showSerName val="0"/>
          <c:showPercent val="0"/>
          <c:showBubbleSize val="0"/>
        </c:dLbls>
        <c:smooth val="0"/>
        <c:axId val="1495450607"/>
        <c:axId val="1495448687"/>
      </c:lineChart>
      <c:catAx>
        <c:axId val="149545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48687"/>
        <c:crosses val="autoZero"/>
        <c:auto val="1"/>
        <c:lblAlgn val="ctr"/>
        <c:lblOffset val="100"/>
        <c:noMultiLvlLbl val="0"/>
      </c:catAx>
      <c:valAx>
        <c:axId val="1495448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45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Table'!$A$53:$A$58</c:f>
              <c:strCache>
                <c:ptCount val="5"/>
                <c:pt idx="0">
                  <c:v>Headphones</c:v>
                </c:pt>
                <c:pt idx="1">
                  <c:v>Laptop</c:v>
                </c:pt>
                <c:pt idx="2">
                  <c:v>Monitor</c:v>
                </c:pt>
                <c:pt idx="3">
                  <c:v>Phone</c:v>
                </c:pt>
                <c:pt idx="4">
                  <c:v>Tablet</c:v>
                </c:pt>
              </c:strCache>
            </c:strRef>
          </c:cat>
          <c:val>
            <c:numRef>
              <c:f>'Pivot Table'!$B$53:$B$58</c:f>
              <c:numCache>
                <c:formatCode>0.00%</c:formatCode>
                <c:ptCount val="5"/>
                <c:pt idx="0">
                  <c:v>0.39999999999999936</c:v>
                </c:pt>
                <c:pt idx="1">
                  <c:v>0.19999999999999979</c:v>
                </c:pt>
                <c:pt idx="2">
                  <c:v>0.26666666666666666</c:v>
                </c:pt>
                <c:pt idx="3">
                  <c:v>0.25</c:v>
                </c:pt>
                <c:pt idx="4">
                  <c:v>0.19999999999999971</c:v>
                </c:pt>
              </c:numCache>
            </c:numRef>
          </c:val>
          <c:extLst>
            <c:ext xmlns:c16="http://schemas.microsoft.com/office/drawing/2014/chart" uri="{C3380CC4-5D6E-409C-BE32-E72D297353CC}">
              <c16:uniqueId val="{00000000-FEB8-4D69-B183-F4144A95E79B}"/>
            </c:ext>
          </c:extLst>
        </c:ser>
        <c:dLbls>
          <c:dLblPos val="outEnd"/>
          <c:showLegendKey val="0"/>
          <c:showVal val="1"/>
          <c:showCatName val="0"/>
          <c:showSerName val="0"/>
          <c:showPercent val="0"/>
          <c:showBubbleSize val="0"/>
        </c:dLbls>
        <c:gapWidth val="182"/>
        <c:axId val="100226703"/>
        <c:axId val="100227183"/>
      </c:barChart>
      <c:catAx>
        <c:axId val="100226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7183"/>
        <c:crosses val="autoZero"/>
        <c:auto val="1"/>
        <c:lblAlgn val="ctr"/>
        <c:lblOffset val="100"/>
        <c:noMultiLvlLbl val="0"/>
      </c:catAx>
      <c:valAx>
        <c:axId val="1002271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80555555555556"/>
          <c:y val="0.26328484981044037"/>
          <c:w val="0.50844815940197108"/>
          <c:h val="0.6293157626130067"/>
        </c:manualLayout>
      </c:layout>
      <c:barChart>
        <c:barDir val="bar"/>
        <c:grouping val="clustered"/>
        <c:varyColors val="0"/>
        <c:ser>
          <c:idx val="0"/>
          <c:order val="0"/>
          <c:tx>
            <c:strRef>
              <c:f>'Pivot Table'!$B$4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Table'!$A$5:$A$9</c:f>
              <c:strCache>
                <c:ptCount val="4"/>
                <c:pt idx="0">
                  <c:v>East</c:v>
                </c:pt>
                <c:pt idx="1">
                  <c:v>North</c:v>
                </c:pt>
                <c:pt idx="2">
                  <c:v>South</c:v>
                </c:pt>
                <c:pt idx="3">
                  <c:v>West</c:v>
                </c:pt>
              </c:strCache>
            </c:strRef>
          </c:cat>
          <c:val>
            <c:numRef>
              <c:f>'Pivot Table'!$B$5:$B$9</c:f>
              <c:numCache>
                <c:formatCode>"₹"\ #,##0.00</c:formatCode>
                <c:ptCount val="4"/>
                <c:pt idx="0">
                  <c:v>13352000</c:v>
                </c:pt>
                <c:pt idx="1">
                  <c:v>11592000</c:v>
                </c:pt>
                <c:pt idx="2">
                  <c:v>11686000</c:v>
                </c:pt>
                <c:pt idx="3">
                  <c:v>11761000</c:v>
                </c:pt>
              </c:numCache>
            </c:numRef>
          </c:val>
          <c:extLst>
            <c:ext xmlns:c16="http://schemas.microsoft.com/office/drawing/2014/chart" uri="{C3380CC4-5D6E-409C-BE32-E72D297353CC}">
              <c16:uniqueId val="{00000000-F5CE-44AE-AA77-2CFDFFB0E44E}"/>
            </c:ext>
          </c:extLst>
        </c:ser>
        <c:dLbls>
          <c:dLblPos val="outEnd"/>
          <c:showLegendKey val="0"/>
          <c:showVal val="1"/>
          <c:showCatName val="0"/>
          <c:showSerName val="0"/>
          <c:showPercent val="0"/>
          <c:showBubbleSize val="0"/>
        </c:dLbls>
        <c:gapWidth val="182"/>
        <c:axId val="1840778255"/>
        <c:axId val="1840771055"/>
      </c:barChart>
      <c:catAx>
        <c:axId val="1840778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1055"/>
        <c:crosses val="autoZero"/>
        <c:auto val="1"/>
        <c:lblAlgn val="ctr"/>
        <c:lblOffset val="100"/>
        <c:noMultiLvlLbl val="0"/>
      </c:catAx>
      <c:valAx>
        <c:axId val="184077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Table'!$A$19:$A$24</c:f>
              <c:strCache>
                <c:ptCount val="5"/>
                <c:pt idx="0">
                  <c:v>Laptop</c:v>
                </c:pt>
                <c:pt idx="1">
                  <c:v>Phone</c:v>
                </c:pt>
                <c:pt idx="2">
                  <c:v>Tablet</c:v>
                </c:pt>
                <c:pt idx="3">
                  <c:v>Monitor</c:v>
                </c:pt>
                <c:pt idx="4">
                  <c:v>Headphones</c:v>
                </c:pt>
              </c:strCache>
            </c:strRef>
          </c:cat>
          <c:val>
            <c:numRef>
              <c:f>'Pivot Table'!$B$19:$B$24</c:f>
              <c:numCache>
                <c:formatCode>"₹"\ #,##0.00</c:formatCode>
                <c:ptCount val="5"/>
                <c:pt idx="0">
                  <c:v>3360000</c:v>
                </c:pt>
                <c:pt idx="1">
                  <c:v>2635000</c:v>
                </c:pt>
                <c:pt idx="2">
                  <c:v>2520000</c:v>
                </c:pt>
                <c:pt idx="3">
                  <c:v>2012000</c:v>
                </c:pt>
                <c:pt idx="4">
                  <c:v>362400</c:v>
                </c:pt>
              </c:numCache>
            </c:numRef>
          </c:val>
          <c:extLst>
            <c:ext xmlns:c16="http://schemas.microsoft.com/office/drawing/2014/chart" uri="{C3380CC4-5D6E-409C-BE32-E72D297353CC}">
              <c16:uniqueId val="{00000000-6EAA-4DA8-8C93-EB76AE08D03D}"/>
            </c:ext>
          </c:extLst>
        </c:ser>
        <c:dLbls>
          <c:dLblPos val="outEnd"/>
          <c:showLegendKey val="0"/>
          <c:showVal val="1"/>
          <c:showCatName val="0"/>
          <c:showSerName val="0"/>
          <c:showPercent val="0"/>
          <c:showBubbleSize val="0"/>
        </c:dLbls>
        <c:gapWidth val="219"/>
        <c:overlap val="-27"/>
        <c:axId val="1840792175"/>
        <c:axId val="1840775855"/>
      </c:barChart>
      <c:catAx>
        <c:axId val="18407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75855"/>
        <c:crosses val="autoZero"/>
        <c:auto val="1"/>
        <c:lblAlgn val="ctr"/>
        <c:lblOffset val="100"/>
        <c:noMultiLvlLbl val="0"/>
      </c:catAx>
      <c:valAx>
        <c:axId val="1840775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7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121920</xdr:colOff>
      <xdr:row>0</xdr:row>
      <xdr:rowOff>171450</xdr:rowOff>
    </xdr:from>
    <xdr:to>
      <xdr:col>12</xdr:col>
      <xdr:colOff>388620</xdr:colOff>
      <xdr:row>15</xdr:row>
      <xdr:rowOff>171450</xdr:rowOff>
    </xdr:to>
    <xdr:graphicFrame macro="">
      <xdr:nvGraphicFramePr>
        <xdr:cNvPr id="2" name="Chart 1">
          <a:extLst>
            <a:ext uri="{FF2B5EF4-FFF2-40B4-BE49-F238E27FC236}">
              <a16:creationId xmlns:a16="http://schemas.microsoft.com/office/drawing/2014/main" id="{9E8FCB19-0976-5DFF-1237-C3BCB9670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259080</xdr:colOff>
      <xdr:row>17</xdr:row>
      <xdr:rowOff>3810</xdr:rowOff>
    </xdr:from>
    <xdr:to>
      <xdr:col>12</xdr:col>
      <xdr:colOff>563880</xdr:colOff>
      <xdr:row>32</xdr:row>
      <xdr:rowOff>3810</xdr:rowOff>
    </xdr:to>
    <xdr:graphicFrame macro="">
      <xdr:nvGraphicFramePr>
        <xdr:cNvPr id="3" name="Chart 2">
          <a:extLst>
            <a:ext uri="{FF2B5EF4-FFF2-40B4-BE49-F238E27FC236}">
              <a16:creationId xmlns:a16="http://schemas.microsoft.com/office/drawing/2014/main" id="{3ADAA70E-7DD4-A758-FBBD-27DD6A3D3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144780</xdr:colOff>
      <xdr:row>32</xdr:row>
      <xdr:rowOff>148590</xdr:rowOff>
    </xdr:from>
    <xdr:to>
      <xdr:col>12</xdr:col>
      <xdr:colOff>449580</xdr:colOff>
      <xdr:row>47</xdr:row>
      <xdr:rowOff>148590</xdr:rowOff>
    </xdr:to>
    <xdr:graphicFrame macro="">
      <xdr:nvGraphicFramePr>
        <xdr:cNvPr id="4" name="Chart 3">
          <a:extLst>
            <a:ext uri="{FF2B5EF4-FFF2-40B4-BE49-F238E27FC236}">
              <a16:creationId xmlns:a16="http://schemas.microsoft.com/office/drawing/2014/main" id="{7F2DD391-75F0-937B-3E3B-D4F1FBCFA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507999</xdr:colOff>
      <xdr:row>49</xdr:row>
      <xdr:rowOff>25401</xdr:rowOff>
    </xdr:from>
    <xdr:to>
      <xdr:col>12</xdr:col>
      <xdr:colOff>215514</xdr:colOff>
      <xdr:row>63</xdr:row>
      <xdr:rowOff>182419</xdr:rowOff>
    </xdr:to>
    <xdr:graphicFrame macro="">
      <xdr:nvGraphicFramePr>
        <xdr:cNvPr id="14" name="Chart 13">
          <a:extLst>
            <a:ext uri="{FF2B5EF4-FFF2-40B4-BE49-F238E27FC236}">
              <a16:creationId xmlns:a16="http://schemas.microsoft.com/office/drawing/2014/main" id="{3B30F22B-3082-E8CA-AD7A-3FAC38C76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30237</xdr:colOff>
      <xdr:row>26</xdr:row>
      <xdr:rowOff>50800</xdr:rowOff>
    </xdr:from>
    <xdr:to>
      <xdr:col>15</xdr:col>
      <xdr:colOff>594894</xdr:colOff>
      <xdr:row>45</xdr:row>
      <xdr:rowOff>31968</xdr:rowOff>
    </xdr:to>
    <xdr:graphicFrame macro="">
      <xdr:nvGraphicFramePr>
        <xdr:cNvPr id="2" name="Chart 1">
          <a:extLst>
            <a:ext uri="{FF2B5EF4-FFF2-40B4-BE49-F238E27FC236}">
              <a16:creationId xmlns:a16="http://schemas.microsoft.com/office/drawing/2014/main" id="{E795A333-BE88-4F4F-A776-31E174030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604651</xdr:colOff>
      <xdr:row>26</xdr:row>
      <xdr:rowOff>50955</xdr:rowOff>
    </xdr:from>
    <xdr:to>
      <xdr:col>25</xdr:col>
      <xdr:colOff>601579</xdr:colOff>
      <xdr:row>45</xdr:row>
      <xdr:rowOff>33421</xdr:rowOff>
    </xdr:to>
    <xdr:graphicFrame macro="">
      <xdr:nvGraphicFramePr>
        <xdr:cNvPr id="3" name="Chart 2">
          <a:extLst>
            <a:ext uri="{FF2B5EF4-FFF2-40B4-BE49-F238E27FC236}">
              <a16:creationId xmlns:a16="http://schemas.microsoft.com/office/drawing/2014/main" id="{15BF1FD7-4E2C-45D6-BB10-4ED1EA1D2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33166</xdr:colOff>
      <xdr:row>7</xdr:row>
      <xdr:rowOff>50800</xdr:rowOff>
    </xdr:from>
    <xdr:to>
      <xdr:col>15</xdr:col>
      <xdr:colOff>585537</xdr:colOff>
      <xdr:row>26</xdr:row>
      <xdr:rowOff>50800</xdr:rowOff>
    </xdr:to>
    <xdr:graphicFrame macro="">
      <xdr:nvGraphicFramePr>
        <xdr:cNvPr id="4" name="Chart 3">
          <a:extLst>
            <a:ext uri="{FF2B5EF4-FFF2-40B4-BE49-F238E27FC236}">
              <a16:creationId xmlns:a16="http://schemas.microsoft.com/office/drawing/2014/main" id="{34923A22-32BB-4039-BDEA-0BA1EAA15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592305</xdr:colOff>
      <xdr:row>7</xdr:row>
      <xdr:rowOff>50459</xdr:rowOff>
    </xdr:from>
    <xdr:to>
      <xdr:col>25</xdr:col>
      <xdr:colOff>599872</xdr:colOff>
      <xdr:row>26</xdr:row>
      <xdr:rowOff>50459</xdr:rowOff>
    </xdr:to>
    <xdr:graphicFrame macro="">
      <xdr:nvGraphicFramePr>
        <xdr:cNvPr id="5" name="Chart 4">
          <a:extLst>
            <a:ext uri="{FF2B5EF4-FFF2-40B4-BE49-F238E27FC236}">
              <a16:creationId xmlns:a16="http://schemas.microsoft.com/office/drawing/2014/main" id="{86F12CDB-58AA-471D-8A74-BCF329882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12698</xdr:colOff>
      <xdr:row>7</xdr:row>
      <xdr:rowOff>50800</xdr:rowOff>
    </xdr:from>
    <xdr:to>
      <xdr:col>6</xdr:col>
      <xdr:colOff>16211</xdr:colOff>
      <xdr:row>15</xdr:row>
      <xdr:rowOff>76199</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A3D64B67-8E05-4E33-A91C-52BC6B61655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820233" y="1858335"/>
              <a:ext cx="1811048" cy="1443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15</xdr:row>
      <xdr:rowOff>63500</xdr:rowOff>
    </xdr:from>
    <xdr:to>
      <xdr:col>6</xdr:col>
      <xdr:colOff>18143</xdr:colOff>
      <xdr:row>35</xdr:row>
      <xdr:rowOff>127000</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8ABDD171-3334-4D87-8A72-751508E4A31B}"/>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820235" y="3288709"/>
              <a:ext cx="1812978" cy="3607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35</xdr:row>
      <xdr:rowOff>101600</xdr:rowOff>
    </xdr:from>
    <xdr:to>
      <xdr:col>6</xdr:col>
      <xdr:colOff>18143</xdr:colOff>
      <xdr:row>45</xdr:row>
      <xdr:rowOff>38100</xdr:rowOff>
    </xdr:to>
    <mc:AlternateContent xmlns:mc="http://schemas.openxmlformats.org/markup-compatibility/2006" xmlns:a14="http://schemas.microsoft.com/office/drawing/2010/main">
      <mc:Choice Requires="a14">
        <xdr:graphicFrame macro="">
          <xdr:nvGraphicFramePr>
            <xdr:cNvPr id="8" name="Product 2">
              <a:extLst>
                <a:ext uri="{FF2B5EF4-FFF2-40B4-BE49-F238E27FC236}">
                  <a16:creationId xmlns:a16="http://schemas.microsoft.com/office/drawing/2014/main" id="{967E912C-8991-4D79-8637-D49773CB3A2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820235" y="6870995"/>
              <a:ext cx="1812978" cy="1708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een Lalani" refreshedDate="46118.593742476849" createdVersion="8" refreshedVersion="8" minRefreshableVersion="3" recordCount="400" xr:uid="{A205BD91-D480-4D43-914A-A22164D9CCE4}">
  <cacheSource type="worksheet">
    <worksheetSource name="Table2"/>
  </cacheSource>
  <cacheFields count="13">
    <cacheField name="Order_ID" numFmtId="0">
      <sharedItems/>
    </cacheField>
    <cacheField name="Date" numFmtId="0">
      <sharedItems containsDate="1" containsMixedTypes="1" minDate="2024-01-08T00:00:00" maxDate="2024-01-09T00:00:00"/>
    </cacheField>
    <cacheField name="Month" numFmtId="0">
      <sharedItems count="12">
        <s v="Jan"/>
        <s v="Feb"/>
        <s v="Mar"/>
        <s v="Apr"/>
        <s v="May"/>
        <s v="Jun"/>
        <s v="Jul"/>
        <s v="Aug"/>
        <s v="Sep"/>
        <s v="Oct"/>
        <s v="Nov"/>
        <s v="Dec"/>
      </sharedItems>
    </cacheField>
    <cacheField name="Region" numFmtId="0">
      <sharedItems count="4">
        <s v="East"/>
        <s v="South"/>
        <s v="North"/>
        <s v="West"/>
      </sharedItems>
    </cacheField>
    <cacheField name="Product" numFmtId="0">
      <sharedItems count="5">
        <s v="Laptop"/>
        <s v="Headphones"/>
        <s v="Tablet"/>
        <s v="Monitor"/>
        <s v="Phone"/>
      </sharedItems>
    </cacheField>
    <cacheField name="Category" numFmtId="0">
      <sharedItems/>
    </cacheField>
    <cacheField name="Quantity" numFmtId="0">
      <sharedItems containsSemiMixedTypes="0" containsString="0" containsNumber="1" containsInteger="1" minValue="1" maxValue="10"/>
    </cacheField>
    <cacheField name="Selling_Price" numFmtId="164">
      <sharedItems containsSemiMixedTypes="0" containsString="0" containsNumber="1" containsInteger="1" minValue="2000" maxValue="50000"/>
    </cacheField>
    <cacheField name="Cost_Price" numFmtId="164">
      <sharedItems containsSemiMixedTypes="0" containsString="0" containsNumber="1" containsInteger="1" minValue="1200" maxValue="40000"/>
    </cacheField>
    <cacheField name="Revenue" numFmtId="164">
      <sharedItems containsSemiMixedTypes="0" containsString="0" containsNumber="1" containsInteger="1" minValue="2000" maxValue="500000"/>
    </cacheField>
    <cacheField name="Cost" numFmtId="164">
      <sharedItems containsSemiMixedTypes="0" containsString="0" containsNumber="1" containsInteger="1" minValue="1200" maxValue="400000"/>
    </cacheField>
    <cacheField name="Profit" numFmtId="164">
      <sharedItems containsSemiMixedTypes="0" containsString="0" containsNumber="1" containsInteger="1" minValue="800" maxValue="100000"/>
    </cacheField>
    <cacheField name="Profit %" numFmtId="10">
      <sharedItems containsSemiMixedTypes="0" containsString="0" containsNumber="1" minValue="0.2" maxValue="0.4"/>
    </cacheField>
  </cacheFields>
  <extLst>
    <ext xmlns:x14="http://schemas.microsoft.com/office/spreadsheetml/2009/9/main" uri="{725AE2AE-9491-48be-B2B4-4EB974FC3084}">
      <x14:pivotCacheDefinition pivotCacheId="45627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ORD190"/>
    <s v="05-01-2024"/>
    <x v="0"/>
    <x v="0"/>
    <x v="0"/>
    <s v="Electronics"/>
    <n v="4"/>
    <n v="50000"/>
    <n v="40000"/>
    <n v="200000"/>
    <n v="160000"/>
    <n v="40000"/>
    <n v="0.2"/>
  </r>
  <r>
    <s v="ORD304"/>
    <s v="05-01-2024"/>
    <x v="0"/>
    <x v="1"/>
    <x v="1"/>
    <s v="Accessories"/>
    <n v="1"/>
    <n v="2000"/>
    <n v="1200"/>
    <n v="2000"/>
    <n v="1200"/>
    <n v="800"/>
    <n v="0.4"/>
  </r>
  <r>
    <s v="ORD284"/>
    <s v="06-01-2024"/>
    <x v="0"/>
    <x v="2"/>
    <x v="1"/>
    <s v="Accessories"/>
    <n v="6"/>
    <n v="2000"/>
    <n v="1200"/>
    <n v="12000"/>
    <n v="7200"/>
    <n v="4800"/>
    <n v="0.4"/>
  </r>
  <r>
    <s v="ORD168"/>
    <s v="07-01-2024"/>
    <x v="0"/>
    <x v="1"/>
    <x v="2"/>
    <s v="Electronics"/>
    <n v="9"/>
    <n v="30000"/>
    <n v="24000"/>
    <n v="270000"/>
    <n v="216000"/>
    <n v="54000"/>
    <n v="0.2"/>
  </r>
  <r>
    <s v="ORD224"/>
    <s v="07-01-2024"/>
    <x v="0"/>
    <x v="0"/>
    <x v="3"/>
    <s v="Electronics"/>
    <n v="3"/>
    <n v="15000"/>
    <n v="11000"/>
    <n v="45000"/>
    <n v="33000"/>
    <n v="12000"/>
    <n v="0.26666666666666666"/>
  </r>
  <r>
    <s v="ORD203"/>
    <d v="2024-01-08T00:00:00"/>
    <x v="0"/>
    <x v="3"/>
    <x v="4"/>
    <s v="Electronics"/>
    <n v="3"/>
    <n v="20000"/>
    <n v="15000"/>
    <n v="60000"/>
    <n v="45000"/>
    <n v="15000"/>
    <n v="0.25"/>
  </r>
  <r>
    <s v="ORD269"/>
    <s v="08-01-2024"/>
    <x v="0"/>
    <x v="2"/>
    <x v="2"/>
    <s v="Electronics"/>
    <n v="1"/>
    <n v="30000"/>
    <n v="24000"/>
    <n v="30000"/>
    <n v="24000"/>
    <n v="6000"/>
    <n v="0.2"/>
  </r>
  <r>
    <s v="ORD338"/>
    <s v="08-01-2024"/>
    <x v="0"/>
    <x v="3"/>
    <x v="2"/>
    <s v="Electronics"/>
    <n v="9"/>
    <n v="30000"/>
    <n v="24000"/>
    <n v="270000"/>
    <n v="216000"/>
    <n v="54000"/>
    <n v="0.2"/>
  </r>
  <r>
    <s v="ORD015"/>
    <s v="09-01-2024"/>
    <x v="0"/>
    <x v="2"/>
    <x v="3"/>
    <s v="Electronics"/>
    <n v="5"/>
    <n v="15000"/>
    <n v="11000"/>
    <n v="75000"/>
    <n v="55000"/>
    <n v="20000"/>
    <n v="0.26666666666666666"/>
  </r>
  <r>
    <s v="ORD048"/>
    <s v="09-01-2024"/>
    <x v="0"/>
    <x v="0"/>
    <x v="2"/>
    <s v="Electronics"/>
    <n v="6"/>
    <n v="30000"/>
    <n v="24000"/>
    <n v="180000"/>
    <n v="144000"/>
    <n v="36000"/>
    <n v="0.2"/>
  </r>
  <r>
    <s v="ORD223"/>
    <s v="09-01-2024"/>
    <x v="0"/>
    <x v="1"/>
    <x v="0"/>
    <s v="Electronics"/>
    <n v="5"/>
    <n v="50000"/>
    <n v="40000"/>
    <n v="250000"/>
    <n v="200000"/>
    <n v="50000"/>
    <n v="0.2"/>
  </r>
  <r>
    <s v="ORD013"/>
    <s v="10-01-2024"/>
    <x v="0"/>
    <x v="1"/>
    <x v="3"/>
    <s v="Electronics"/>
    <n v="7"/>
    <n v="15000"/>
    <n v="11000"/>
    <n v="105000"/>
    <n v="77000"/>
    <n v="28000"/>
    <n v="0.26666666666666666"/>
  </r>
  <r>
    <s v="ORD275"/>
    <s v="10-01-2024"/>
    <x v="0"/>
    <x v="0"/>
    <x v="2"/>
    <s v="Electronics"/>
    <n v="8"/>
    <n v="30000"/>
    <n v="24000"/>
    <n v="240000"/>
    <n v="192000"/>
    <n v="48000"/>
    <n v="0.2"/>
  </r>
  <r>
    <s v="ORD328"/>
    <s v="10-01-2024"/>
    <x v="0"/>
    <x v="2"/>
    <x v="1"/>
    <s v="Accessories"/>
    <n v="10"/>
    <n v="2000"/>
    <n v="1200"/>
    <n v="20000"/>
    <n v="12000"/>
    <n v="8000"/>
    <n v="0.4"/>
  </r>
  <r>
    <s v="ORD083"/>
    <s v="12-01-2024"/>
    <x v="0"/>
    <x v="0"/>
    <x v="1"/>
    <s v="Accessories"/>
    <n v="5"/>
    <n v="2000"/>
    <n v="1200"/>
    <n v="10000"/>
    <n v="6000"/>
    <n v="4000"/>
    <n v="0.4"/>
  </r>
  <r>
    <s v="ORD327"/>
    <s v="12-01-2024"/>
    <x v="0"/>
    <x v="1"/>
    <x v="0"/>
    <s v="Electronics"/>
    <n v="2"/>
    <n v="50000"/>
    <n v="40000"/>
    <n v="100000"/>
    <n v="80000"/>
    <n v="20000"/>
    <n v="0.2"/>
  </r>
  <r>
    <s v="ORD171"/>
    <s v="15-01-2024"/>
    <x v="0"/>
    <x v="0"/>
    <x v="1"/>
    <s v="Accessories"/>
    <n v="9"/>
    <n v="2000"/>
    <n v="1200"/>
    <n v="18000"/>
    <n v="10800"/>
    <n v="7200"/>
    <n v="0.4"/>
  </r>
  <r>
    <s v="ORD281"/>
    <s v="16-01-2024"/>
    <x v="0"/>
    <x v="0"/>
    <x v="2"/>
    <s v="Electronics"/>
    <n v="5"/>
    <n v="30000"/>
    <n v="24000"/>
    <n v="150000"/>
    <n v="120000"/>
    <n v="30000"/>
    <n v="0.2"/>
  </r>
  <r>
    <s v="ORD091"/>
    <s v="17-01-2024"/>
    <x v="0"/>
    <x v="0"/>
    <x v="2"/>
    <s v="Electronics"/>
    <n v="3"/>
    <n v="30000"/>
    <n v="24000"/>
    <n v="90000"/>
    <n v="72000"/>
    <n v="18000"/>
    <n v="0.2"/>
  </r>
  <r>
    <s v="ORD115"/>
    <s v="17-01-2024"/>
    <x v="0"/>
    <x v="3"/>
    <x v="3"/>
    <s v="Electronics"/>
    <n v="8"/>
    <n v="15000"/>
    <n v="11000"/>
    <n v="120000"/>
    <n v="88000"/>
    <n v="32000"/>
    <n v="0.26666666666666666"/>
  </r>
  <r>
    <s v="ORD244"/>
    <s v="17-01-2024"/>
    <x v="0"/>
    <x v="3"/>
    <x v="3"/>
    <s v="Electronics"/>
    <n v="1"/>
    <n v="15000"/>
    <n v="11000"/>
    <n v="15000"/>
    <n v="11000"/>
    <n v="4000"/>
    <n v="0.26666666666666666"/>
  </r>
  <r>
    <s v="ORD043"/>
    <s v="18-01-2024"/>
    <x v="0"/>
    <x v="0"/>
    <x v="3"/>
    <s v="Electronics"/>
    <n v="2"/>
    <n v="15000"/>
    <n v="11000"/>
    <n v="30000"/>
    <n v="22000"/>
    <n v="8000"/>
    <n v="0.26666666666666666"/>
  </r>
  <r>
    <s v="ORD279"/>
    <s v="18-01-2024"/>
    <x v="0"/>
    <x v="2"/>
    <x v="0"/>
    <s v="Electronics"/>
    <n v="7"/>
    <n v="50000"/>
    <n v="40000"/>
    <n v="350000"/>
    <n v="280000"/>
    <n v="70000"/>
    <n v="0.2"/>
  </r>
  <r>
    <s v="ORD248"/>
    <s v="21-01-2024"/>
    <x v="0"/>
    <x v="0"/>
    <x v="4"/>
    <s v="Electronics"/>
    <n v="4"/>
    <n v="20000"/>
    <n v="15000"/>
    <n v="80000"/>
    <n v="60000"/>
    <n v="20000"/>
    <n v="0.25"/>
  </r>
  <r>
    <s v="ORD035"/>
    <s v="22-01-2024"/>
    <x v="0"/>
    <x v="2"/>
    <x v="4"/>
    <s v="Electronics"/>
    <n v="7"/>
    <n v="20000"/>
    <n v="15000"/>
    <n v="140000"/>
    <n v="105000"/>
    <n v="35000"/>
    <n v="0.25"/>
  </r>
  <r>
    <s v="ORD334"/>
    <s v="22-01-2024"/>
    <x v="0"/>
    <x v="1"/>
    <x v="2"/>
    <s v="Electronics"/>
    <n v="4"/>
    <n v="30000"/>
    <n v="24000"/>
    <n v="120000"/>
    <n v="96000"/>
    <n v="24000"/>
    <n v="0.2"/>
  </r>
  <r>
    <s v="ORD399"/>
    <s v="22-01-2024"/>
    <x v="0"/>
    <x v="3"/>
    <x v="4"/>
    <s v="Electronics"/>
    <n v="6"/>
    <n v="20000"/>
    <n v="15000"/>
    <n v="120000"/>
    <n v="90000"/>
    <n v="30000"/>
    <n v="0.25"/>
  </r>
  <r>
    <s v="ORD164"/>
    <s v="23-01-2024"/>
    <x v="0"/>
    <x v="1"/>
    <x v="3"/>
    <s v="Electronics"/>
    <n v="6"/>
    <n v="15000"/>
    <n v="11000"/>
    <n v="90000"/>
    <n v="66000"/>
    <n v="24000"/>
    <n v="0.26666666666666666"/>
  </r>
  <r>
    <s v="ORD016"/>
    <s v="24-01-2024"/>
    <x v="0"/>
    <x v="3"/>
    <x v="0"/>
    <s v="Electronics"/>
    <n v="3"/>
    <n v="50000"/>
    <n v="40000"/>
    <n v="150000"/>
    <n v="120000"/>
    <n v="30000"/>
    <n v="0.2"/>
  </r>
  <r>
    <s v="ORD226"/>
    <s v="26-01-2024"/>
    <x v="0"/>
    <x v="3"/>
    <x v="4"/>
    <s v="Electronics"/>
    <n v="2"/>
    <n v="20000"/>
    <n v="15000"/>
    <n v="40000"/>
    <n v="30000"/>
    <n v="10000"/>
    <n v="0.25"/>
  </r>
  <r>
    <s v="ORD165"/>
    <s v="28-01-2024"/>
    <x v="0"/>
    <x v="0"/>
    <x v="3"/>
    <s v="Electronics"/>
    <n v="8"/>
    <n v="15000"/>
    <n v="11000"/>
    <n v="120000"/>
    <n v="88000"/>
    <n v="32000"/>
    <n v="0.26666666666666666"/>
  </r>
  <r>
    <s v="ORD081"/>
    <s v="29-01-2024"/>
    <x v="0"/>
    <x v="0"/>
    <x v="0"/>
    <s v="Electronics"/>
    <n v="8"/>
    <n v="50000"/>
    <n v="40000"/>
    <n v="400000"/>
    <n v="320000"/>
    <n v="80000"/>
    <n v="0.2"/>
  </r>
  <r>
    <s v="ORD139"/>
    <s v="29-01-2024"/>
    <x v="0"/>
    <x v="3"/>
    <x v="1"/>
    <s v="Accessories"/>
    <n v="3"/>
    <n v="2000"/>
    <n v="1200"/>
    <n v="6000"/>
    <n v="3600"/>
    <n v="2400"/>
    <n v="0.4"/>
  </r>
  <r>
    <s v="ORD400"/>
    <s v="29-01-2024"/>
    <x v="0"/>
    <x v="2"/>
    <x v="4"/>
    <s v="Electronics"/>
    <n v="9"/>
    <n v="20000"/>
    <n v="15000"/>
    <n v="180000"/>
    <n v="135000"/>
    <n v="45000"/>
    <n v="0.25"/>
  </r>
  <r>
    <s v="ORD161"/>
    <s v="30-01-2024"/>
    <x v="0"/>
    <x v="1"/>
    <x v="1"/>
    <s v="Accessories"/>
    <n v="2"/>
    <n v="2000"/>
    <n v="1200"/>
    <n v="4000"/>
    <n v="2400"/>
    <n v="1600"/>
    <n v="0.4"/>
  </r>
  <r>
    <s v="ORD148"/>
    <s v="31-01-2024"/>
    <x v="0"/>
    <x v="3"/>
    <x v="4"/>
    <s v="Electronics"/>
    <n v="5"/>
    <n v="20000"/>
    <n v="15000"/>
    <n v="100000"/>
    <n v="75000"/>
    <n v="25000"/>
    <n v="0.25"/>
  </r>
  <r>
    <s v="ORD241"/>
    <s v="02-02-2024"/>
    <x v="1"/>
    <x v="2"/>
    <x v="2"/>
    <s v="Electronics"/>
    <n v="6"/>
    <n v="30000"/>
    <n v="24000"/>
    <n v="180000"/>
    <n v="144000"/>
    <n v="36000"/>
    <n v="0.2"/>
  </r>
  <r>
    <s v="ORD102"/>
    <s v="04-02-2024"/>
    <x v="1"/>
    <x v="3"/>
    <x v="4"/>
    <s v="Electronics"/>
    <n v="8"/>
    <n v="20000"/>
    <n v="15000"/>
    <n v="160000"/>
    <n v="120000"/>
    <n v="40000"/>
    <n v="0.25"/>
  </r>
  <r>
    <s v="ORD117"/>
    <s v="04-02-2024"/>
    <x v="1"/>
    <x v="3"/>
    <x v="3"/>
    <s v="Electronics"/>
    <n v="5"/>
    <n v="15000"/>
    <n v="11000"/>
    <n v="75000"/>
    <n v="55000"/>
    <n v="20000"/>
    <n v="0.26666666666666666"/>
  </r>
  <r>
    <s v="ORD134"/>
    <s v="04-02-2024"/>
    <x v="1"/>
    <x v="0"/>
    <x v="1"/>
    <s v="Accessories"/>
    <n v="3"/>
    <n v="2000"/>
    <n v="1200"/>
    <n v="6000"/>
    <n v="3600"/>
    <n v="2400"/>
    <n v="0.4"/>
  </r>
  <r>
    <s v="ORD187"/>
    <s v="06-02-2024"/>
    <x v="1"/>
    <x v="2"/>
    <x v="4"/>
    <s v="Electronics"/>
    <n v="9"/>
    <n v="20000"/>
    <n v="15000"/>
    <n v="180000"/>
    <n v="135000"/>
    <n v="45000"/>
    <n v="0.25"/>
  </r>
  <r>
    <s v="ORD029"/>
    <s v="09-02-2024"/>
    <x v="1"/>
    <x v="3"/>
    <x v="4"/>
    <s v="Electronics"/>
    <n v="7"/>
    <n v="20000"/>
    <n v="15000"/>
    <n v="140000"/>
    <n v="105000"/>
    <n v="35000"/>
    <n v="0.25"/>
  </r>
  <r>
    <s v="ORD034"/>
    <s v="11-02-2024"/>
    <x v="1"/>
    <x v="0"/>
    <x v="0"/>
    <s v="Electronics"/>
    <n v="8"/>
    <n v="50000"/>
    <n v="40000"/>
    <n v="400000"/>
    <n v="320000"/>
    <n v="80000"/>
    <n v="0.2"/>
  </r>
  <r>
    <s v="ORD156"/>
    <s v="11-02-2024"/>
    <x v="1"/>
    <x v="1"/>
    <x v="2"/>
    <s v="Electronics"/>
    <n v="6"/>
    <n v="30000"/>
    <n v="24000"/>
    <n v="180000"/>
    <n v="144000"/>
    <n v="36000"/>
    <n v="0.2"/>
  </r>
  <r>
    <s v="ORD319"/>
    <s v="11-02-2024"/>
    <x v="1"/>
    <x v="0"/>
    <x v="4"/>
    <s v="Electronics"/>
    <n v="4"/>
    <n v="20000"/>
    <n v="15000"/>
    <n v="80000"/>
    <n v="60000"/>
    <n v="20000"/>
    <n v="0.25"/>
  </r>
  <r>
    <s v="ORD037"/>
    <s v="13-02-2024"/>
    <x v="1"/>
    <x v="2"/>
    <x v="4"/>
    <s v="Electronics"/>
    <n v="8"/>
    <n v="20000"/>
    <n v="15000"/>
    <n v="160000"/>
    <n v="120000"/>
    <n v="40000"/>
    <n v="0.25"/>
  </r>
  <r>
    <s v="ORD380"/>
    <s v="13-02-2024"/>
    <x v="1"/>
    <x v="3"/>
    <x v="4"/>
    <s v="Electronics"/>
    <n v="9"/>
    <n v="20000"/>
    <n v="15000"/>
    <n v="180000"/>
    <n v="135000"/>
    <n v="45000"/>
    <n v="0.25"/>
  </r>
  <r>
    <s v="ORD077"/>
    <s v="14-02-2024"/>
    <x v="1"/>
    <x v="3"/>
    <x v="0"/>
    <s v="Electronics"/>
    <n v="6"/>
    <n v="50000"/>
    <n v="40000"/>
    <n v="300000"/>
    <n v="240000"/>
    <n v="60000"/>
    <n v="0.2"/>
  </r>
  <r>
    <s v="ORD119"/>
    <s v="15-02-2024"/>
    <x v="1"/>
    <x v="3"/>
    <x v="4"/>
    <s v="Electronics"/>
    <n v="2"/>
    <n v="20000"/>
    <n v="15000"/>
    <n v="40000"/>
    <n v="30000"/>
    <n v="10000"/>
    <n v="0.25"/>
  </r>
  <r>
    <s v="ORD085"/>
    <s v="17-02-2024"/>
    <x v="1"/>
    <x v="1"/>
    <x v="3"/>
    <s v="Electronics"/>
    <n v="7"/>
    <n v="15000"/>
    <n v="11000"/>
    <n v="105000"/>
    <n v="77000"/>
    <n v="28000"/>
    <n v="0.26666666666666666"/>
  </r>
  <r>
    <s v="ORD145"/>
    <s v="18-02-2024"/>
    <x v="1"/>
    <x v="2"/>
    <x v="0"/>
    <s v="Electronics"/>
    <n v="10"/>
    <n v="50000"/>
    <n v="40000"/>
    <n v="500000"/>
    <n v="400000"/>
    <n v="100000"/>
    <n v="0.2"/>
  </r>
  <r>
    <s v="ORD253"/>
    <s v="18-02-2024"/>
    <x v="1"/>
    <x v="0"/>
    <x v="0"/>
    <s v="Electronics"/>
    <n v="5"/>
    <n v="50000"/>
    <n v="40000"/>
    <n v="250000"/>
    <n v="200000"/>
    <n v="50000"/>
    <n v="0.2"/>
  </r>
  <r>
    <s v="ORD389"/>
    <s v="21-02-2024"/>
    <x v="1"/>
    <x v="0"/>
    <x v="1"/>
    <s v="Accessories"/>
    <n v="1"/>
    <n v="2000"/>
    <n v="1200"/>
    <n v="2000"/>
    <n v="1200"/>
    <n v="800"/>
    <n v="0.4"/>
  </r>
  <r>
    <s v="ORD112"/>
    <s v="22-02-2024"/>
    <x v="1"/>
    <x v="0"/>
    <x v="1"/>
    <s v="Accessories"/>
    <n v="9"/>
    <n v="2000"/>
    <n v="1200"/>
    <n v="18000"/>
    <n v="10800"/>
    <n v="7200"/>
    <n v="0.4"/>
  </r>
  <r>
    <s v="ORD095"/>
    <s v="25-02-2024"/>
    <x v="1"/>
    <x v="3"/>
    <x v="0"/>
    <s v="Electronics"/>
    <n v="2"/>
    <n v="50000"/>
    <n v="40000"/>
    <n v="100000"/>
    <n v="80000"/>
    <n v="20000"/>
    <n v="0.2"/>
  </r>
  <r>
    <s v="ORD128"/>
    <s v="27-02-2024"/>
    <x v="1"/>
    <x v="3"/>
    <x v="2"/>
    <s v="Electronics"/>
    <n v="5"/>
    <n v="30000"/>
    <n v="24000"/>
    <n v="150000"/>
    <n v="120000"/>
    <n v="30000"/>
    <n v="0.2"/>
  </r>
  <r>
    <s v="ORD261"/>
    <s v="27-02-2024"/>
    <x v="1"/>
    <x v="2"/>
    <x v="4"/>
    <s v="Electronics"/>
    <n v="7"/>
    <n v="20000"/>
    <n v="15000"/>
    <n v="140000"/>
    <n v="105000"/>
    <n v="35000"/>
    <n v="0.25"/>
  </r>
  <r>
    <s v="ORD365"/>
    <s v="29-02-2024"/>
    <x v="1"/>
    <x v="1"/>
    <x v="1"/>
    <s v="Accessories"/>
    <n v="6"/>
    <n v="2000"/>
    <n v="1200"/>
    <n v="12000"/>
    <n v="7200"/>
    <n v="4800"/>
    <n v="0.4"/>
  </r>
  <r>
    <s v="ORD075"/>
    <s v="01-03-2024"/>
    <x v="2"/>
    <x v="0"/>
    <x v="1"/>
    <s v="Accessories"/>
    <n v="9"/>
    <n v="2000"/>
    <n v="1200"/>
    <n v="18000"/>
    <n v="10800"/>
    <n v="7200"/>
    <n v="0.4"/>
  </r>
  <r>
    <s v="ORD199"/>
    <s v="03-03-2024"/>
    <x v="2"/>
    <x v="3"/>
    <x v="3"/>
    <s v="Electronics"/>
    <n v="10"/>
    <n v="15000"/>
    <n v="11000"/>
    <n v="150000"/>
    <n v="110000"/>
    <n v="40000"/>
    <n v="0.26666666666666666"/>
  </r>
  <r>
    <s v="ORD166"/>
    <s v="04-03-2024"/>
    <x v="2"/>
    <x v="3"/>
    <x v="4"/>
    <s v="Electronics"/>
    <n v="3"/>
    <n v="20000"/>
    <n v="15000"/>
    <n v="60000"/>
    <n v="45000"/>
    <n v="15000"/>
    <n v="0.25"/>
  </r>
  <r>
    <s v="ORD025"/>
    <s v="05-03-2024"/>
    <x v="2"/>
    <x v="3"/>
    <x v="4"/>
    <s v="Electronics"/>
    <n v="9"/>
    <n v="20000"/>
    <n v="15000"/>
    <n v="180000"/>
    <n v="135000"/>
    <n v="45000"/>
    <n v="0.25"/>
  </r>
  <r>
    <s v="ORD174"/>
    <s v="05-03-2024"/>
    <x v="2"/>
    <x v="1"/>
    <x v="0"/>
    <s v="Electronics"/>
    <n v="10"/>
    <n v="50000"/>
    <n v="40000"/>
    <n v="500000"/>
    <n v="400000"/>
    <n v="100000"/>
    <n v="0.2"/>
  </r>
  <r>
    <s v="ORD191"/>
    <s v="06-03-2024"/>
    <x v="2"/>
    <x v="3"/>
    <x v="3"/>
    <s v="Electronics"/>
    <n v="9"/>
    <n v="15000"/>
    <n v="11000"/>
    <n v="135000"/>
    <n v="99000"/>
    <n v="36000"/>
    <n v="0.26666666666666666"/>
  </r>
  <r>
    <s v="ORD057"/>
    <s v="07-03-2024"/>
    <x v="2"/>
    <x v="1"/>
    <x v="3"/>
    <s v="Electronics"/>
    <n v="9"/>
    <n v="15000"/>
    <n v="11000"/>
    <n v="135000"/>
    <n v="99000"/>
    <n v="36000"/>
    <n v="0.26666666666666666"/>
  </r>
  <r>
    <s v="ORD299"/>
    <s v="08-03-2024"/>
    <x v="2"/>
    <x v="3"/>
    <x v="4"/>
    <s v="Electronics"/>
    <n v="5"/>
    <n v="20000"/>
    <n v="15000"/>
    <n v="100000"/>
    <n v="75000"/>
    <n v="25000"/>
    <n v="0.25"/>
  </r>
  <r>
    <s v="ORD089"/>
    <s v="09-03-2024"/>
    <x v="2"/>
    <x v="1"/>
    <x v="1"/>
    <s v="Accessories"/>
    <n v="2"/>
    <n v="2000"/>
    <n v="1200"/>
    <n v="4000"/>
    <n v="2400"/>
    <n v="1600"/>
    <n v="0.4"/>
  </r>
  <r>
    <s v="ORD146"/>
    <s v="09-03-2024"/>
    <x v="2"/>
    <x v="3"/>
    <x v="4"/>
    <s v="Electronics"/>
    <n v="2"/>
    <n v="20000"/>
    <n v="15000"/>
    <n v="40000"/>
    <n v="30000"/>
    <n v="10000"/>
    <n v="0.25"/>
  </r>
  <r>
    <s v="ORD296"/>
    <s v="09-03-2024"/>
    <x v="2"/>
    <x v="3"/>
    <x v="4"/>
    <s v="Electronics"/>
    <n v="1"/>
    <n v="20000"/>
    <n v="15000"/>
    <n v="20000"/>
    <n v="15000"/>
    <n v="5000"/>
    <n v="0.25"/>
  </r>
  <r>
    <s v="ORD033"/>
    <s v="12-03-2024"/>
    <x v="2"/>
    <x v="0"/>
    <x v="0"/>
    <s v="Electronics"/>
    <n v="10"/>
    <n v="50000"/>
    <n v="40000"/>
    <n v="500000"/>
    <n v="400000"/>
    <n v="100000"/>
    <n v="0.2"/>
  </r>
  <r>
    <s v="ORD138"/>
    <s v="12-03-2024"/>
    <x v="2"/>
    <x v="2"/>
    <x v="2"/>
    <s v="Electronics"/>
    <n v="9"/>
    <n v="30000"/>
    <n v="24000"/>
    <n v="270000"/>
    <n v="216000"/>
    <n v="54000"/>
    <n v="0.2"/>
  </r>
  <r>
    <s v="ORD356"/>
    <s v="13-03-2024"/>
    <x v="2"/>
    <x v="1"/>
    <x v="4"/>
    <s v="Electronics"/>
    <n v="1"/>
    <n v="20000"/>
    <n v="15000"/>
    <n v="20000"/>
    <n v="15000"/>
    <n v="5000"/>
    <n v="0.25"/>
  </r>
  <r>
    <s v="ORD042"/>
    <s v="14-03-2024"/>
    <x v="2"/>
    <x v="0"/>
    <x v="4"/>
    <s v="Electronics"/>
    <n v="9"/>
    <n v="20000"/>
    <n v="15000"/>
    <n v="180000"/>
    <n v="135000"/>
    <n v="45000"/>
    <n v="0.25"/>
  </r>
  <r>
    <s v="ORD276"/>
    <s v="15-03-2024"/>
    <x v="2"/>
    <x v="1"/>
    <x v="1"/>
    <s v="Accessories"/>
    <n v="3"/>
    <n v="2000"/>
    <n v="1200"/>
    <n v="6000"/>
    <n v="3600"/>
    <n v="2400"/>
    <n v="0.4"/>
  </r>
  <r>
    <s v="ORD153"/>
    <s v="16-03-2024"/>
    <x v="2"/>
    <x v="0"/>
    <x v="2"/>
    <s v="Electronics"/>
    <n v="9"/>
    <n v="30000"/>
    <n v="24000"/>
    <n v="270000"/>
    <n v="216000"/>
    <n v="54000"/>
    <n v="0.2"/>
  </r>
  <r>
    <s v="ORD101"/>
    <s v="17-03-2024"/>
    <x v="2"/>
    <x v="0"/>
    <x v="4"/>
    <s v="Electronics"/>
    <n v="6"/>
    <n v="20000"/>
    <n v="15000"/>
    <n v="120000"/>
    <n v="90000"/>
    <n v="30000"/>
    <n v="0.25"/>
  </r>
  <r>
    <s v="ORD195"/>
    <s v="17-03-2024"/>
    <x v="2"/>
    <x v="0"/>
    <x v="2"/>
    <s v="Electronics"/>
    <n v="2"/>
    <n v="30000"/>
    <n v="24000"/>
    <n v="60000"/>
    <n v="48000"/>
    <n v="12000"/>
    <n v="0.2"/>
  </r>
  <r>
    <s v="ORD221"/>
    <s v="17-03-2024"/>
    <x v="2"/>
    <x v="0"/>
    <x v="0"/>
    <s v="Electronics"/>
    <n v="5"/>
    <n v="50000"/>
    <n v="40000"/>
    <n v="250000"/>
    <n v="200000"/>
    <n v="50000"/>
    <n v="0.2"/>
  </r>
  <r>
    <s v="ORD285"/>
    <s v="18-03-2024"/>
    <x v="2"/>
    <x v="0"/>
    <x v="4"/>
    <s v="Electronics"/>
    <n v="7"/>
    <n v="20000"/>
    <n v="15000"/>
    <n v="140000"/>
    <n v="105000"/>
    <n v="35000"/>
    <n v="0.25"/>
  </r>
  <r>
    <s v="ORD017"/>
    <s v="22-03-2024"/>
    <x v="2"/>
    <x v="3"/>
    <x v="1"/>
    <s v="Accessories"/>
    <n v="8"/>
    <n v="2000"/>
    <n v="1200"/>
    <n v="16000"/>
    <n v="9600"/>
    <n v="6400"/>
    <n v="0.4"/>
  </r>
  <r>
    <s v="ORD230"/>
    <s v="22-03-2024"/>
    <x v="2"/>
    <x v="3"/>
    <x v="0"/>
    <s v="Electronics"/>
    <n v="5"/>
    <n v="50000"/>
    <n v="40000"/>
    <n v="250000"/>
    <n v="200000"/>
    <n v="50000"/>
    <n v="0.2"/>
  </r>
  <r>
    <s v="ORD335"/>
    <s v="23-03-2024"/>
    <x v="2"/>
    <x v="3"/>
    <x v="1"/>
    <s v="Accessories"/>
    <n v="7"/>
    <n v="2000"/>
    <n v="1200"/>
    <n v="14000"/>
    <n v="8400"/>
    <n v="5600"/>
    <n v="0.4"/>
  </r>
  <r>
    <s v="ORD088"/>
    <s v="24-03-2024"/>
    <x v="2"/>
    <x v="0"/>
    <x v="0"/>
    <s v="Electronics"/>
    <n v="10"/>
    <n v="50000"/>
    <n v="40000"/>
    <n v="500000"/>
    <n v="400000"/>
    <n v="100000"/>
    <n v="0.2"/>
  </r>
  <r>
    <s v="ORD254"/>
    <s v="24-03-2024"/>
    <x v="2"/>
    <x v="3"/>
    <x v="1"/>
    <s v="Accessories"/>
    <n v="10"/>
    <n v="2000"/>
    <n v="1200"/>
    <n v="20000"/>
    <n v="12000"/>
    <n v="8000"/>
    <n v="0.4"/>
  </r>
  <r>
    <s v="ORD302"/>
    <s v="25-03-2024"/>
    <x v="2"/>
    <x v="0"/>
    <x v="4"/>
    <s v="Electronics"/>
    <n v="2"/>
    <n v="20000"/>
    <n v="15000"/>
    <n v="40000"/>
    <n v="30000"/>
    <n v="10000"/>
    <n v="0.25"/>
  </r>
  <r>
    <s v="ORD007"/>
    <s v="26-03-2024"/>
    <x v="2"/>
    <x v="0"/>
    <x v="2"/>
    <s v="Electronics"/>
    <n v="8"/>
    <n v="30000"/>
    <n v="24000"/>
    <n v="240000"/>
    <n v="192000"/>
    <n v="48000"/>
    <n v="0.2"/>
  </r>
  <r>
    <s v="ORD053"/>
    <s v="26-03-2024"/>
    <x v="2"/>
    <x v="3"/>
    <x v="2"/>
    <s v="Electronics"/>
    <n v="3"/>
    <n v="30000"/>
    <n v="24000"/>
    <n v="90000"/>
    <n v="72000"/>
    <n v="18000"/>
    <n v="0.2"/>
  </r>
  <r>
    <s v="ORD231"/>
    <s v="26-03-2024"/>
    <x v="2"/>
    <x v="2"/>
    <x v="0"/>
    <s v="Electronics"/>
    <n v="2"/>
    <n v="50000"/>
    <n v="40000"/>
    <n v="100000"/>
    <n v="80000"/>
    <n v="20000"/>
    <n v="0.2"/>
  </r>
  <r>
    <s v="ORD373"/>
    <s v="26-03-2024"/>
    <x v="2"/>
    <x v="0"/>
    <x v="2"/>
    <s v="Electronics"/>
    <n v="4"/>
    <n v="30000"/>
    <n v="24000"/>
    <n v="120000"/>
    <n v="96000"/>
    <n v="24000"/>
    <n v="0.2"/>
  </r>
  <r>
    <s v="ORD023"/>
    <s v="27-03-2024"/>
    <x v="2"/>
    <x v="2"/>
    <x v="2"/>
    <s v="Electronics"/>
    <n v="3"/>
    <n v="30000"/>
    <n v="24000"/>
    <n v="90000"/>
    <n v="72000"/>
    <n v="18000"/>
    <n v="0.2"/>
  </r>
  <r>
    <s v="ORD176"/>
    <s v="27-03-2024"/>
    <x v="2"/>
    <x v="3"/>
    <x v="1"/>
    <s v="Accessories"/>
    <n v="4"/>
    <n v="2000"/>
    <n v="1200"/>
    <n v="8000"/>
    <n v="4800"/>
    <n v="3200"/>
    <n v="0.4"/>
  </r>
  <r>
    <s v="ORD245"/>
    <s v="28-03-2024"/>
    <x v="2"/>
    <x v="0"/>
    <x v="1"/>
    <s v="Accessories"/>
    <n v="10"/>
    <n v="2000"/>
    <n v="1200"/>
    <n v="20000"/>
    <n v="12000"/>
    <n v="8000"/>
    <n v="0.4"/>
  </r>
  <r>
    <s v="ORD049"/>
    <s v="29-03-2024"/>
    <x v="2"/>
    <x v="2"/>
    <x v="3"/>
    <s v="Electronics"/>
    <n v="5"/>
    <n v="15000"/>
    <n v="11000"/>
    <n v="75000"/>
    <n v="55000"/>
    <n v="20000"/>
    <n v="0.26666666666666666"/>
  </r>
  <r>
    <s v="ORD050"/>
    <s v="29-03-2024"/>
    <x v="2"/>
    <x v="3"/>
    <x v="0"/>
    <s v="Electronics"/>
    <n v="2"/>
    <n v="50000"/>
    <n v="40000"/>
    <n v="100000"/>
    <n v="80000"/>
    <n v="20000"/>
    <n v="0.2"/>
  </r>
  <r>
    <s v="ORD211"/>
    <s v="29-03-2024"/>
    <x v="2"/>
    <x v="0"/>
    <x v="0"/>
    <s v="Electronics"/>
    <n v="1"/>
    <n v="50000"/>
    <n v="40000"/>
    <n v="50000"/>
    <n v="40000"/>
    <n v="10000"/>
    <n v="0.2"/>
  </r>
  <r>
    <s v="ORD087"/>
    <s v="01-04-2024"/>
    <x v="3"/>
    <x v="1"/>
    <x v="2"/>
    <s v="Electronics"/>
    <n v="2"/>
    <n v="30000"/>
    <n v="24000"/>
    <n v="60000"/>
    <n v="48000"/>
    <n v="12000"/>
    <n v="0.2"/>
  </r>
  <r>
    <s v="ORD106"/>
    <s v="01-04-2024"/>
    <x v="3"/>
    <x v="3"/>
    <x v="4"/>
    <s v="Electronics"/>
    <n v="8"/>
    <n v="20000"/>
    <n v="15000"/>
    <n v="160000"/>
    <n v="120000"/>
    <n v="40000"/>
    <n v="0.25"/>
  </r>
  <r>
    <s v="ORD167"/>
    <s v="02-04-2024"/>
    <x v="3"/>
    <x v="0"/>
    <x v="0"/>
    <s v="Electronics"/>
    <n v="9"/>
    <n v="50000"/>
    <n v="40000"/>
    <n v="450000"/>
    <n v="360000"/>
    <n v="90000"/>
    <n v="0.2"/>
  </r>
  <r>
    <s v="ORD263"/>
    <s v="03-04-2024"/>
    <x v="3"/>
    <x v="3"/>
    <x v="0"/>
    <s v="Electronics"/>
    <n v="8"/>
    <n v="50000"/>
    <n v="40000"/>
    <n v="400000"/>
    <n v="320000"/>
    <n v="80000"/>
    <n v="0.2"/>
  </r>
  <r>
    <s v="ORD076"/>
    <s v="05-04-2024"/>
    <x v="3"/>
    <x v="3"/>
    <x v="4"/>
    <s v="Electronics"/>
    <n v="8"/>
    <n v="20000"/>
    <n v="15000"/>
    <n v="160000"/>
    <n v="120000"/>
    <n v="40000"/>
    <n v="0.25"/>
  </r>
  <r>
    <s v="ORD052"/>
    <s v="06-04-2024"/>
    <x v="3"/>
    <x v="3"/>
    <x v="0"/>
    <s v="Electronics"/>
    <n v="8"/>
    <n v="50000"/>
    <n v="40000"/>
    <n v="400000"/>
    <n v="320000"/>
    <n v="80000"/>
    <n v="0.2"/>
  </r>
  <r>
    <s v="ORD349"/>
    <s v="06-04-2024"/>
    <x v="3"/>
    <x v="3"/>
    <x v="4"/>
    <s v="Electronics"/>
    <n v="9"/>
    <n v="20000"/>
    <n v="15000"/>
    <n v="180000"/>
    <n v="135000"/>
    <n v="45000"/>
    <n v="0.25"/>
  </r>
  <r>
    <s v="ORD379"/>
    <s v="06-04-2024"/>
    <x v="3"/>
    <x v="1"/>
    <x v="0"/>
    <s v="Electronics"/>
    <n v="4"/>
    <n v="50000"/>
    <n v="40000"/>
    <n v="200000"/>
    <n v="160000"/>
    <n v="40000"/>
    <n v="0.2"/>
  </r>
  <r>
    <s v="ORD079"/>
    <s v="08-04-2024"/>
    <x v="3"/>
    <x v="1"/>
    <x v="3"/>
    <s v="Electronics"/>
    <n v="10"/>
    <n v="15000"/>
    <n v="11000"/>
    <n v="150000"/>
    <n v="110000"/>
    <n v="40000"/>
    <n v="0.26666666666666666"/>
  </r>
  <r>
    <s v="ORD131"/>
    <s v="08-04-2024"/>
    <x v="3"/>
    <x v="2"/>
    <x v="0"/>
    <s v="Electronics"/>
    <n v="9"/>
    <n v="50000"/>
    <n v="40000"/>
    <n v="450000"/>
    <n v="360000"/>
    <n v="90000"/>
    <n v="0.2"/>
  </r>
  <r>
    <s v="ORD318"/>
    <s v="10-04-2024"/>
    <x v="3"/>
    <x v="3"/>
    <x v="1"/>
    <s v="Accessories"/>
    <n v="3"/>
    <n v="2000"/>
    <n v="1200"/>
    <n v="6000"/>
    <n v="3600"/>
    <n v="2400"/>
    <n v="0.4"/>
  </r>
  <r>
    <s v="ORD382"/>
    <s v="10-04-2024"/>
    <x v="3"/>
    <x v="3"/>
    <x v="3"/>
    <s v="Electronics"/>
    <n v="3"/>
    <n v="15000"/>
    <n v="11000"/>
    <n v="45000"/>
    <n v="33000"/>
    <n v="12000"/>
    <n v="0.26666666666666666"/>
  </r>
  <r>
    <s v="ORD120"/>
    <s v="11-04-2024"/>
    <x v="3"/>
    <x v="1"/>
    <x v="1"/>
    <s v="Accessories"/>
    <n v="10"/>
    <n v="2000"/>
    <n v="1200"/>
    <n v="20000"/>
    <n v="12000"/>
    <n v="8000"/>
    <n v="0.4"/>
  </r>
  <r>
    <s v="ORD315"/>
    <s v="11-04-2024"/>
    <x v="3"/>
    <x v="2"/>
    <x v="1"/>
    <s v="Accessories"/>
    <n v="1"/>
    <n v="2000"/>
    <n v="1200"/>
    <n v="2000"/>
    <n v="1200"/>
    <n v="800"/>
    <n v="0.4"/>
  </r>
  <r>
    <s v="ORD024"/>
    <s v="12-04-2024"/>
    <x v="3"/>
    <x v="2"/>
    <x v="4"/>
    <s v="Electronics"/>
    <n v="4"/>
    <n v="20000"/>
    <n v="15000"/>
    <n v="80000"/>
    <n v="60000"/>
    <n v="20000"/>
    <n v="0.25"/>
  </r>
  <r>
    <s v="ORD008"/>
    <s v="13-04-2024"/>
    <x v="3"/>
    <x v="0"/>
    <x v="1"/>
    <s v="Accessories"/>
    <n v="10"/>
    <n v="2000"/>
    <n v="1200"/>
    <n v="20000"/>
    <n v="12000"/>
    <n v="8000"/>
    <n v="0.4"/>
  </r>
  <r>
    <s v="ORD225"/>
    <s v="14-04-2024"/>
    <x v="3"/>
    <x v="3"/>
    <x v="4"/>
    <s v="Electronics"/>
    <n v="7"/>
    <n v="20000"/>
    <n v="15000"/>
    <n v="140000"/>
    <n v="105000"/>
    <n v="35000"/>
    <n v="0.25"/>
  </r>
  <r>
    <s v="ORD272"/>
    <s v="18-04-2024"/>
    <x v="3"/>
    <x v="1"/>
    <x v="2"/>
    <s v="Electronics"/>
    <n v="6"/>
    <n v="30000"/>
    <n v="24000"/>
    <n v="180000"/>
    <n v="144000"/>
    <n v="36000"/>
    <n v="0.2"/>
  </r>
  <r>
    <s v="ORD214"/>
    <s v="19-04-2024"/>
    <x v="3"/>
    <x v="0"/>
    <x v="3"/>
    <s v="Electronics"/>
    <n v="6"/>
    <n v="15000"/>
    <n v="11000"/>
    <n v="90000"/>
    <n v="66000"/>
    <n v="24000"/>
    <n v="0.26666666666666666"/>
  </r>
  <r>
    <s v="ORD074"/>
    <s v="20-04-2024"/>
    <x v="3"/>
    <x v="1"/>
    <x v="3"/>
    <s v="Electronics"/>
    <n v="6"/>
    <n v="15000"/>
    <n v="11000"/>
    <n v="90000"/>
    <n v="66000"/>
    <n v="24000"/>
    <n v="0.26666666666666666"/>
  </r>
  <r>
    <s v="ORD193"/>
    <s v="21-04-2024"/>
    <x v="3"/>
    <x v="0"/>
    <x v="1"/>
    <s v="Accessories"/>
    <n v="8"/>
    <n v="2000"/>
    <n v="1200"/>
    <n v="16000"/>
    <n v="9600"/>
    <n v="6400"/>
    <n v="0.4"/>
  </r>
  <r>
    <s v="ORD350"/>
    <s v="22-04-2024"/>
    <x v="3"/>
    <x v="0"/>
    <x v="2"/>
    <s v="Electronics"/>
    <n v="4"/>
    <n v="30000"/>
    <n v="24000"/>
    <n v="120000"/>
    <n v="96000"/>
    <n v="24000"/>
    <n v="0.2"/>
  </r>
  <r>
    <s v="ORD157"/>
    <s v="25-04-2024"/>
    <x v="3"/>
    <x v="2"/>
    <x v="1"/>
    <s v="Accessories"/>
    <n v="1"/>
    <n v="2000"/>
    <n v="1200"/>
    <n v="2000"/>
    <n v="1200"/>
    <n v="800"/>
    <n v="0.4"/>
  </r>
  <r>
    <s v="ORD277"/>
    <s v="25-04-2024"/>
    <x v="3"/>
    <x v="1"/>
    <x v="2"/>
    <s v="Electronics"/>
    <n v="4"/>
    <n v="30000"/>
    <n v="24000"/>
    <n v="120000"/>
    <n v="96000"/>
    <n v="24000"/>
    <n v="0.2"/>
  </r>
  <r>
    <s v="ORD222"/>
    <s v="26-04-2024"/>
    <x v="3"/>
    <x v="3"/>
    <x v="3"/>
    <s v="Electronics"/>
    <n v="5"/>
    <n v="15000"/>
    <n v="11000"/>
    <n v="75000"/>
    <n v="55000"/>
    <n v="20000"/>
    <n v="0.26666666666666666"/>
  </r>
  <r>
    <s v="ORD283"/>
    <s v="01-05-2024"/>
    <x v="4"/>
    <x v="0"/>
    <x v="2"/>
    <s v="Electronics"/>
    <n v="6"/>
    <n v="30000"/>
    <n v="24000"/>
    <n v="180000"/>
    <n v="144000"/>
    <n v="36000"/>
    <n v="0.2"/>
  </r>
  <r>
    <s v="ORD366"/>
    <s v="01-05-2024"/>
    <x v="4"/>
    <x v="2"/>
    <x v="3"/>
    <s v="Electronics"/>
    <n v="8"/>
    <n v="15000"/>
    <n v="11000"/>
    <n v="120000"/>
    <n v="88000"/>
    <n v="32000"/>
    <n v="0.26666666666666666"/>
  </r>
  <r>
    <s v="ORD371"/>
    <s v="01-05-2024"/>
    <x v="4"/>
    <x v="2"/>
    <x v="4"/>
    <s v="Electronics"/>
    <n v="7"/>
    <n v="20000"/>
    <n v="15000"/>
    <n v="140000"/>
    <n v="105000"/>
    <n v="35000"/>
    <n v="0.25"/>
  </r>
  <r>
    <s v="ORD237"/>
    <s v="04-05-2024"/>
    <x v="4"/>
    <x v="1"/>
    <x v="4"/>
    <s v="Electronics"/>
    <n v="5"/>
    <n v="20000"/>
    <n v="15000"/>
    <n v="100000"/>
    <n v="75000"/>
    <n v="25000"/>
    <n v="0.25"/>
  </r>
  <r>
    <s v="ORD210"/>
    <s v="05-05-2024"/>
    <x v="4"/>
    <x v="2"/>
    <x v="1"/>
    <s v="Accessories"/>
    <n v="6"/>
    <n v="2000"/>
    <n v="1200"/>
    <n v="12000"/>
    <n v="7200"/>
    <n v="4800"/>
    <n v="0.4"/>
  </r>
  <r>
    <s v="ORD288"/>
    <s v="06-05-2024"/>
    <x v="4"/>
    <x v="0"/>
    <x v="4"/>
    <s v="Electronics"/>
    <n v="8"/>
    <n v="20000"/>
    <n v="15000"/>
    <n v="160000"/>
    <n v="120000"/>
    <n v="40000"/>
    <n v="0.25"/>
  </r>
  <r>
    <s v="ORD312"/>
    <s v="06-05-2024"/>
    <x v="4"/>
    <x v="1"/>
    <x v="3"/>
    <s v="Electronics"/>
    <n v="2"/>
    <n v="15000"/>
    <n v="11000"/>
    <n v="30000"/>
    <n v="22000"/>
    <n v="8000"/>
    <n v="0.26666666666666666"/>
  </r>
  <r>
    <s v="ORD158"/>
    <s v="07-05-2024"/>
    <x v="4"/>
    <x v="1"/>
    <x v="4"/>
    <s v="Electronics"/>
    <n v="4"/>
    <n v="20000"/>
    <n v="15000"/>
    <n v="80000"/>
    <n v="60000"/>
    <n v="20000"/>
    <n v="0.25"/>
  </r>
  <r>
    <s v="ORD172"/>
    <s v="07-05-2024"/>
    <x v="4"/>
    <x v="1"/>
    <x v="2"/>
    <s v="Electronics"/>
    <n v="6"/>
    <n v="30000"/>
    <n v="24000"/>
    <n v="180000"/>
    <n v="144000"/>
    <n v="36000"/>
    <n v="0.2"/>
  </r>
  <r>
    <s v="ORD323"/>
    <s v="07-05-2024"/>
    <x v="4"/>
    <x v="0"/>
    <x v="4"/>
    <s v="Electronics"/>
    <n v="9"/>
    <n v="20000"/>
    <n v="15000"/>
    <n v="180000"/>
    <n v="135000"/>
    <n v="45000"/>
    <n v="0.25"/>
  </r>
  <r>
    <s v="ORD394"/>
    <s v="07-05-2024"/>
    <x v="4"/>
    <x v="0"/>
    <x v="1"/>
    <s v="Accessories"/>
    <n v="6"/>
    <n v="2000"/>
    <n v="1200"/>
    <n v="12000"/>
    <n v="7200"/>
    <n v="4800"/>
    <n v="0.4"/>
  </r>
  <r>
    <s v="ORD346"/>
    <s v="08-05-2024"/>
    <x v="4"/>
    <x v="3"/>
    <x v="1"/>
    <s v="Accessories"/>
    <n v="6"/>
    <n v="2000"/>
    <n v="1200"/>
    <n v="12000"/>
    <n v="7200"/>
    <n v="4800"/>
    <n v="0.4"/>
  </r>
  <r>
    <s v="ORD255"/>
    <s v="09-05-2024"/>
    <x v="4"/>
    <x v="1"/>
    <x v="4"/>
    <s v="Electronics"/>
    <n v="9"/>
    <n v="20000"/>
    <n v="15000"/>
    <n v="180000"/>
    <n v="135000"/>
    <n v="45000"/>
    <n v="0.25"/>
  </r>
  <r>
    <s v="ORD238"/>
    <s v="10-05-2024"/>
    <x v="4"/>
    <x v="3"/>
    <x v="2"/>
    <s v="Electronics"/>
    <n v="7"/>
    <n v="30000"/>
    <n v="24000"/>
    <n v="210000"/>
    <n v="168000"/>
    <n v="42000"/>
    <n v="0.2"/>
  </r>
  <r>
    <s v="ORD232"/>
    <s v="11-05-2024"/>
    <x v="4"/>
    <x v="3"/>
    <x v="1"/>
    <s v="Accessories"/>
    <n v="8"/>
    <n v="2000"/>
    <n v="1200"/>
    <n v="16000"/>
    <n v="9600"/>
    <n v="6400"/>
    <n v="0.4"/>
  </r>
  <r>
    <s v="ORD003"/>
    <s v="12-05-2024"/>
    <x v="4"/>
    <x v="1"/>
    <x v="2"/>
    <s v="Electronics"/>
    <n v="9"/>
    <n v="30000"/>
    <n v="24000"/>
    <n v="270000"/>
    <n v="216000"/>
    <n v="54000"/>
    <n v="0.2"/>
  </r>
  <r>
    <s v="ORD140"/>
    <s v="12-05-2024"/>
    <x v="4"/>
    <x v="0"/>
    <x v="2"/>
    <s v="Electronics"/>
    <n v="8"/>
    <n v="30000"/>
    <n v="24000"/>
    <n v="240000"/>
    <n v="192000"/>
    <n v="48000"/>
    <n v="0.2"/>
  </r>
  <r>
    <s v="ORD374"/>
    <s v="13-05-2024"/>
    <x v="4"/>
    <x v="3"/>
    <x v="1"/>
    <s v="Accessories"/>
    <n v="2"/>
    <n v="2000"/>
    <n v="1200"/>
    <n v="4000"/>
    <n v="2400"/>
    <n v="1600"/>
    <n v="0.4"/>
  </r>
  <r>
    <s v="ORD155"/>
    <s v="15-05-2024"/>
    <x v="4"/>
    <x v="1"/>
    <x v="4"/>
    <s v="Electronics"/>
    <n v="3"/>
    <n v="20000"/>
    <n v="15000"/>
    <n v="60000"/>
    <n v="45000"/>
    <n v="15000"/>
    <n v="0.25"/>
  </r>
  <r>
    <s v="ORD264"/>
    <s v="16-05-2024"/>
    <x v="4"/>
    <x v="3"/>
    <x v="4"/>
    <s v="Electronics"/>
    <n v="1"/>
    <n v="20000"/>
    <n v="15000"/>
    <n v="20000"/>
    <n v="15000"/>
    <n v="5000"/>
    <n v="0.25"/>
  </r>
  <r>
    <s v="ORD292"/>
    <s v="16-05-2024"/>
    <x v="4"/>
    <x v="1"/>
    <x v="3"/>
    <s v="Electronics"/>
    <n v="6"/>
    <n v="15000"/>
    <n v="11000"/>
    <n v="90000"/>
    <n v="66000"/>
    <n v="24000"/>
    <n v="0.26666666666666666"/>
  </r>
  <r>
    <s v="ORD099"/>
    <s v="18-05-2024"/>
    <x v="4"/>
    <x v="3"/>
    <x v="1"/>
    <s v="Accessories"/>
    <n v="4"/>
    <n v="2000"/>
    <n v="1200"/>
    <n v="8000"/>
    <n v="4800"/>
    <n v="3200"/>
    <n v="0.4"/>
  </r>
  <r>
    <s v="ORD186"/>
    <s v="18-05-2024"/>
    <x v="4"/>
    <x v="2"/>
    <x v="3"/>
    <s v="Electronics"/>
    <n v="10"/>
    <n v="15000"/>
    <n v="11000"/>
    <n v="150000"/>
    <n v="110000"/>
    <n v="40000"/>
    <n v="0.26666666666666666"/>
  </r>
  <r>
    <s v="ORD330"/>
    <s v="19-05-2024"/>
    <x v="4"/>
    <x v="1"/>
    <x v="1"/>
    <s v="Accessories"/>
    <n v="7"/>
    <n v="2000"/>
    <n v="1200"/>
    <n v="14000"/>
    <n v="8400"/>
    <n v="5600"/>
    <n v="0.4"/>
  </r>
  <r>
    <s v="ORD395"/>
    <s v="20-05-2024"/>
    <x v="4"/>
    <x v="0"/>
    <x v="2"/>
    <s v="Electronics"/>
    <n v="7"/>
    <n v="30000"/>
    <n v="24000"/>
    <n v="210000"/>
    <n v="168000"/>
    <n v="42000"/>
    <n v="0.2"/>
  </r>
  <r>
    <s v="ORD297"/>
    <s v="21-05-2024"/>
    <x v="4"/>
    <x v="3"/>
    <x v="3"/>
    <s v="Electronics"/>
    <n v="1"/>
    <n v="15000"/>
    <n v="11000"/>
    <n v="15000"/>
    <n v="11000"/>
    <n v="4000"/>
    <n v="0.26666666666666666"/>
  </r>
  <r>
    <s v="ORD182"/>
    <s v="23-05-2024"/>
    <x v="4"/>
    <x v="2"/>
    <x v="3"/>
    <s v="Electronics"/>
    <n v="3"/>
    <n v="15000"/>
    <n v="11000"/>
    <n v="45000"/>
    <n v="33000"/>
    <n v="12000"/>
    <n v="0.26666666666666666"/>
  </r>
  <r>
    <s v="ORD044"/>
    <s v="24-05-2024"/>
    <x v="4"/>
    <x v="3"/>
    <x v="4"/>
    <s v="Electronics"/>
    <n v="3"/>
    <n v="20000"/>
    <n v="15000"/>
    <n v="60000"/>
    <n v="45000"/>
    <n v="15000"/>
    <n v="0.25"/>
  </r>
  <r>
    <s v="ORD116"/>
    <s v="24-05-2024"/>
    <x v="4"/>
    <x v="0"/>
    <x v="1"/>
    <s v="Accessories"/>
    <n v="7"/>
    <n v="2000"/>
    <n v="1200"/>
    <n v="14000"/>
    <n v="8400"/>
    <n v="5600"/>
    <n v="0.4"/>
  </r>
  <r>
    <s v="ORD207"/>
    <s v="24-05-2024"/>
    <x v="4"/>
    <x v="1"/>
    <x v="3"/>
    <s v="Electronics"/>
    <n v="6"/>
    <n v="15000"/>
    <n v="11000"/>
    <n v="90000"/>
    <n v="66000"/>
    <n v="24000"/>
    <n v="0.26666666666666666"/>
  </r>
  <r>
    <s v="ORD367"/>
    <s v="24-05-2024"/>
    <x v="4"/>
    <x v="1"/>
    <x v="4"/>
    <s v="Electronics"/>
    <n v="6"/>
    <n v="20000"/>
    <n v="15000"/>
    <n v="120000"/>
    <n v="90000"/>
    <n v="30000"/>
    <n v="0.25"/>
  </r>
  <r>
    <s v="ORD060"/>
    <s v="25-05-2024"/>
    <x v="4"/>
    <x v="0"/>
    <x v="2"/>
    <s v="Electronics"/>
    <n v="3"/>
    <n v="30000"/>
    <n v="24000"/>
    <n v="90000"/>
    <n v="72000"/>
    <n v="18000"/>
    <n v="0.2"/>
  </r>
  <r>
    <s v="ORD093"/>
    <s v="25-05-2024"/>
    <x v="4"/>
    <x v="1"/>
    <x v="4"/>
    <s v="Electronics"/>
    <n v="10"/>
    <n v="20000"/>
    <n v="15000"/>
    <n v="200000"/>
    <n v="150000"/>
    <n v="50000"/>
    <n v="0.25"/>
  </r>
  <r>
    <s v="ORD268"/>
    <s v="27-05-2024"/>
    <x v="4"/>
    <x v="1"/>
    <x v="3"/>
    <s v="Electronics"/>
    <n v="8"/>
    <n v="15000"/>
    <n v="11000"/>
    <n v="120000"/>
    <n v="88000"/>
    <n v="32000"/>
    <n v="0.26666666666666666"/>
  </r>
  <r>
    <s v="ORD189"/>
    <s v="30-05-2024"/>
    <x v="4"/>
    <x v="3"/>
    <x v="3"/>
    <s v="Electronics"/>
    <n v="6"/>
    <n v="15000"/>
    <n v="11000"/>
    <n v="90000"/>
    <n v="66000"/>
    <n v="24000"/>
    <n v="0.26666666666666666"/>
  </r>
  <r>
    <s v="ORD205"/>
    <s v="30-05-2024"/>
    <x v="4"/>
    <x v="2"/>
    <x v="0"/>
    <s v="Electronics"/>
    <n v="4"/>
    <n v="50000"/>
    <n v="40000"/>
    <n v="200000"/>
    <n v="160000"/>
    <n v="40000"/>
    <n v="0.2"/>
  </r>
  <r>
    <s v="ORD217"/>
    <s v="30-05-2024"/>
    <x v="4"/>
    <x v="2"/>
    <x v="3"/>
    <s v="Electronics"/>
    <n v="2"/>
    <n v="15000"/>
    <n v="11000"/>
    <n v="30000"/>
    <n v="22000"/>
    <n v="8000"/>
    <n v="0.26666666666666666"/>
  </r>
  <r>
    <s v="ORD233"/>
    <s v="30-05-2024"/>
    <x v="4"/>
    <x v="1"/>
    <x v="1"/>
    <s v="Accessories"/>
    <n v="6"/>
    <n v="2000"/>
    <n v="1200"/>
    <n v="12000"/>
    <n v="7200"/>
    <n v="4800"/>
    <n v="0.4"/>
  </r>
  <r>
    <s v="ORD267"/>
    <s v="30-05-2024"/>
    <x v="4"/>
    <x v="3"/>
    <x v="3"/>
    <s v="Electronics"/>
    <n v="2"/>
    <n v="15000"/>
    <n v="11000"/>
    <n v="30000"/>
    <n v="22000"/>
    <n v="8000"/>
    <n v="0.26666666666666666"/>
  </r>
  <r>
    <s v="ORD390"/>
    <s v="30-05-2024"/>
    <x v="4"/>
    <x v="0"/>
    <x v="3"/>
    <s v="Electronics"/>
    <n v="7"/>
    <n v="15000"/>
    <n v="11000"/>
    <n v="105000"/>
    <n v="77000"/>
    <n v="28000"/>
    <n v="0.26666666666666666"/>
  </r>
  <r>
    <s v="ORD170"/>
    <s v="31-05-2024"/>
    <x v="4"/>
    <x v="3"/>
    <x v="1"/>
    <s v="Accessories"/>
    <n v="7"/>
    <n v="2000"/>
    <n v="1200"/>
    <n v="14000"/>
    <n v="8400"/>
    <n v="5600"/>
    <n v="0.4"/>
  </r>
  <r>
    <s v="ORD363"/>
    <s v="31-05-2024"/>
    <x v="4"/>
    <x v="3"/>
    <x v="3"/>
    <s v="Electronics"/>
    <n v="1"/>
    <n v="15000"/>
    <n v="11000"/>
    <n v="15000"/>
    <n v="11000"/>
    <n v="4000"/>
    <n v="0.26666666666666666"/>
  </r>
  <r>
    <s v="ORD012"/>
    <s v="01-06-2024"/>
    <x v="5"/>
    <x v="1"/>
    <x v="1"/>
    <s v="Accessories"/>
    <n v="6"/>
    <n v="2000"/>
    <n v="1200"/>
    <n v="12000"/>
    <n v="7200"/>
    <n v="4800"/>
    <n v="0.4"/>
  </r>
  <r>
    <s v="ORD305"/>
    <s v="02-06-2024"/>
    <x v="5"/>
    <x v="2"/>
    <x v="0"/>
    <s v="Electronics"/>
    <n v="1"/>
    <n v="50000"/>
    <n v="40000"/>
    <n v="50000"/>
    <n v="40000"/>
    <n v="10000"/>
    <n v="0.2"/>
  </r>
  <r>
    <s v="ORD018"/>
    <s v="03-06-2024"/>
    <x v="5"/>
    <x v="2"/>
    <x v="1"/>
    <s v="Accessories"/>
    <n v="4"/>
    <n v="2000"/>
    <n v="1200"/>
    <n v="8000"/>
    <n v="4800"/>
    <n v="3200"/>
    <n v="0.4"/>
  </r>
  <r>
    <s v="ORD201"/>
    <s v="05-06-2024"/>
    <x v="5"/>
    <x v="0"/>
    <x v="3"/>
    <s v="Electronics"/>
    <n v="8"/>
    <n v="15000"/>
    <n v="11000"/>
    <n v="120000"/>
    <n v="88000"/>
    <n v="32000"/>
    <n v="0.26666666666666666"/>
  </r>
  <r>
    <s v="ORD242"/>
    <s v="06-06-2024"/>
    <x v="5"/>
    <x v="1"/>
    <x v="1"/>
    <s v="Accessories"/>
    <n v="7"/>
    <n v="2000"/>
    <n v="1200"/>
    <n v="14000"/>
    <n v="8400"/>
    <n v="5600"/>
    <n v="0.4"/>
  </r>
  <r>
    <s v="ORD061"/>
    <s v="08-06-2024"/>
    <x v="5"/>
    <x v="0"/>
    <x v="4"/>
    <s v="Electronics"/>
    <n v="4"/>
    <n v="20000"/>
    <n v="15000"/>
    <n v="80000"/>
    <n v="60000"/>
    <n v="20000"/>
    <n v="0.25"/>
  </r>
  <r>
    <s v="ORD118"/>
    <s v="09-06-2024"/>
    <x v="5"/>
    <x v="0"/>
    <x v="3"/>
    <s v="Electronics"/>
    <n v="6"/>
    <n v="15000"/>
    <n v="11000"/>
    <n v="90000"/>
    <n v="66000"/>
    <n v="24000"/>
    <n v="0.26666666666666666"/>
  </r>
  <r>
    <s v="ORD247"/>
    <s v="09-06-2024"/>
    <x v="5"/>
    <x v="2"/>
    <x v="0"/>
    <s v="Electronics"/>
    <n v="7"/>
    <n v="50000"/>
    <n v="40000"/>
    <n v="350000"/>
    <n v="280000"/>
    <n v="70000"/>
    <n v="0.2"/>
  </r>
  <r>
    <s v="ORD300"/>
    <s v="09-06-2024"/>
    <x v="5"/>
    <x v="2"/>
    <x v="4"/>
    <s v="Electronics"/>
    <n v="1"/>
    <n v="20000"/>
    <n v="15000"/>
    <n v="20000"/>
    <n v="15000"/>
    <n v="5000"/>
    <n v="0.25"/>
  </r>
  <r>
    <s v="ORD266"/>
    <s v="10-06-2024"/>
    <x v="5"/>
    <x v="1"/>
    <x v="3"/>
    <s v="Electronics"/>
    <n v="4"/>
    <n v="15000"/>
    <n v="11000"/>
    <n v="60000"/>
    <n v="44000"/>
    <n v="16000"/>
    <n v="0.26666666666666666"/>
  </r>
  <r>
    <s v="ORD256"/>
    <s v="11-06-2024"/>
    <x v="5"/>
    <x v="1"/>
    <x v="1"/>
    <s v="Accessories"/>
    <n v="4"/>
    <n v="2000"/>
    <n v="1200"/>
    <n v="8000"/>
    <n v="4800"/>
    <n v="3200"/>
    <n v="0.4"/>
  </r>
  <r>
    <s v="ORD009"/>
    <s v="15-06-2024"/>
    <x v="5"/>
    <x v="0"/>
    <x v="4"/>
    <s v="Electronics"/>
    <n v="5"/>
    <n v="20000"/>
    <n v="15000"/>
    <n v="100000"/>
    <n v="75000"/>
    <n v="25000"/>
    <n v="0.25"/>
  </r>
  <r>
    <s v="ORD235"/>
    <s v="15-06-2024"/>
    <x v="5"/>
    <x v="1"/>
    <x v="1"/>
    <s v="Accessories"/>
    <n v="3"/>
    <n v="2000"/>
    <n v="1200"/>
    <n v="6000"/>
    <n v="3600"/>
    <n v="2400"/>
    <n v="0.4"/>
  </r>
  <r>
    <s v="ORD278"/>
    <s v="17-06-2024"/>
    <x v="5"/>
    <x v="2"/>
    <x v="3"/>
    <s v="Electronics"/>
    <n v="7"/>
    <n v="15000"/>
    <n v="11000"/>
    <n v="105000"/>
    <n v="77000"/>
    <n v="28000"/>
    <n v="0.26666666666666666"/>
  </r>
  <r>
    <s v="ORD347"/>
    <s v="17-06-2024"/>
    <x v="5"/>
    <x v="2"/>
    <x v="3"/>
    <s v="Electronics"/>
    <n v="8"/>
    <n v="15000"/>
    <n v="11000"/>
    <n v="120000"/>
    <n v="88000"/>
    <n v="32000"/>
    <n v="0.26666666666666666"/>
  </r>
  <r>
    <s v="ORD194"/>
    <s v="18-06-2024"/>
    <x v="5"/>
    <x v="0"/>
    <x v="0"/>
    <s v="Electronics"/>
    <n v="8"/>
    <n v="50000"/>
    <n v="40000"/>
    <n v="400000"/>
    <n v="320000"/>
    <n v="80000"/>
    <n v="0.2"/>
  </r>
  <r>
    <s v="ORD270"/>
    <s v="19-06-2024"/>
    <x v="5"/>
    <x v="0"/>
    <x v="1"/>
    <s v="Accessories"/>
    <n v="3"/>
    <n v="2000"/>
    <n v="1200"/>
    <n v="6000"/>
    <n v="3600"/>
    <n v="2400"/>
    <n v="0.4"/>
  </r>
  <r>
    <s v="ORD067"/>
    <s v="20-06-2024"/>
    <x v="5"/>
    <x v="2"/>
    <x v="4"/>
    <s v="Electronics"/>
    <n v="2"/>
    <n v="20000"/>
    <n v="15000"/>
    <n v="40000"/>
    <n v="30000"/>
    <n v="10000"/>
    <n v="0.25"/>
  </r>
  <r>
    <s v="ORD123"/>
    <s v="21-06-2024"/>
    <x v="5"/>
    <x v="0"/>
    <x v="2"/>
    <s v="Electronics"/>
    <n v="2"/>
    <n v="30000"/>
    <n v="24000"/>
    <n v="60000"/>
    <n v="48000"/>
    <n v="12000"/>
    <n v="0.2"/>
  </r>
  <r>
    <s v="ORD227"/>
    <s v="21-06-2024"/>
    <x v="5"/>
    <x v="3"/>
    <x v="3"/>
    <s v="Electronics"/>
    <n v="9"/>
    <n v="15000"/>
    <n v="11000"/>
    <n v="135000"/>
    <n v="99000"/>
    <n v="36000"/>
    <n v="0.26666666666666666"/>
  </r>
  <r>
    <s v="ORD202"/>
    <s v="24-06-2024"/>
    <x v="5"/>
    <x v="0"/>
    <x v="3"/>
    <s v="Electronics"/>
    <n v="10"/>
    <n v="15000"/>
    <n v="11000"/>
    <n v="150000"/>
    <n v="110000"/>
    <n v="40000"/>
    <n v="0.26666666666666666"/>
  </r>
  <r>
    <s v="ORD364"/>
    <s v="24-06-2024"/>
    <x v="5"/>
    <x v="3"/>
    <x v="4"/>
    <s v="Electronics"/>
    <n v="7"/>
    <n v="20000"/>
    <n v="15000"/>
    <n v="140000"/>
    <n v="105000"/>
    <n v="35000"/>
    <n v="0.25"/>
  </r>
  <r>
    <s v="ORD397"/>
    <s v="26-06-2024"/>
    <x v="5"/>
    <x v="0"/>
    <x v="3"/>
    <s v="Electronics"/>
    <n v="3"/>
    <n v="15000"/>
    <n v="11000"/>
    <n v="45000"/>
    <n v="33000"/>
    <n v="12000"/>
    <n v="0.26666666666666666"/>
  </r>
  <r>
    <s v="ORD010"/>
    <s v="28-06-2024"/>
    <x v="5"/>
    <x v="1"/>
    <x v="2"/>
    <s v="Electronics"/>
    <n v="4"/>
    <n v="30000"/>
    <n v="24000"/>
    <n v="120000"/>
    <n v="96000"/>
    <n v="24000"/>
    <n v="0.2"/>
  </r>
  <r>
    <s v="ORD014"/>
    <s v="28-06-2024"/>
    <x v="5"/>
    <x v="2"/>
    <x v="1"/>
    <s v="Accessories"/>
    <n v="7"/>
    <n v="2000"/>
    <n v="1200"/>
    <n v="14000"/>
    <n v="8400"/>
    <n v="5600"/>
    <n v="0.4"/>
  </r>
  <r>
    <s v="ORD361"/>
    <s v="28-06-2024"/>
    <x v="5"/>
    <x v="1"/>
    <x v="2"/>
    <s v="Electronics"/>
    <n v="6"/>
    <n v="30000"/>
    <n v="24000"/>
    <n v="180000"/>
    <n v="144000"/>
    <n v="36000"/>
    <n v="0.2"/>
  </r>
  <r>
    <s v="ORD339"/>
    <s v="29-06-2024"/>
    <x v="5"/>
    <x v="0"/>
    <x v="3"/>
    <s v="Electronics"/>
    <n v="4"/>
    <n v="15000"/>
    <n v="11000"/>
    <n v="60000"/>
    <n v="44000"/>
    <n v="16000"/>
    <n v="0.26666666666666666"/>
  </r>
  <r>
    <s v="ORD295"/>
    <s v="30-06-2024"/>
    <x v="5"/>
    <x v="0"/>
    <x v="3"/>
    <s v="Electronics"/>
    <n v="3"/>
    <n v="15000"/>
    <n v="11000"/>
    <n v="45000"/>
    <n v="33000"/>
    <n v="12000"/>
    <n v="0.26666666666666666"/>
  </r>
  <r>
    <s v="ORD105"/>
    <s v="02-07-2024"/>
    <x v="6"/>
    <x v="0"/>
    <x v="4"/>
    <s v="Electronics"/>
    <n v="10"/>
    <n v="20000"/>
    <n v="15000"/>
    <n v="200000"/>
    <n v="150000"/>
    <n v="50000"/>
    <n v="0.25"/>
  </r>
  <r>
    <s v="ORD129"/>
    <s v="04-07-2024"/>
    <x v="6"/>
    <x v="0"/>
    <x v="0"/>
    <s v="Electronics"/>
    <n v="7"/>
    <n v="50000"/>
    <n v="40000"/>
    <n v="350000"/>
    <n v="280000"/>
    <n v="70000"/>
    <n v="0.2"/>
  </r>
  <r>
    <s v="ORD039"/>
    <s v="06-07-2024"/>
    <x v="6"/>
    <x v="3"/>
    <x v="0"/>
    <s v="Electronics"/>
    <n v="2"/>
    <n v="50000"/>
    <n v="40000"/>
    <n v="100000"/>
    <n v="80000"/>
    <n v="20000"/>
    <n v="0.2"/>
  </r>
  <r>
    <s v="ORD114"/>
    <s v="06-07-2024"/>
    <x v="6"/>
    <x v="1"/>
    <x v="1"/>
    <s v="Accessories"/>
    <n v="2"/>
    <n v="2000"/>
    <n v="1200"/>
    <n v="4000"/>
    <n v="2400"/>
    <n v="1600"/>
    <n v="0.4"/>
  </r>
  <r>
    <s v="ORD160"/>
    <s v="06-07-2024"/>
    <x v="6"/>
    <x v="1"/>
    <x v="4"/>
    <s v="Electronics"/>
    <n v="1"/>
    <n v="20000"/>
    <n v="15000"/>
    <n v="20000"/>
    <n v="15000"/>
    <n v="5000"/>
    <n v="0.25"/>
  </r>
  <r>
    <s v="ORD376"/>
    <s v="06-07-2024"/>
    <x v="6"/>
    <x v="1"/>
    <x v="0"/>
    <s v="Electronics"/>
    <n v="3"/>
    <n v="50000"/>
    <n v="40000"/>
    <n v="150000"/>
    <n v="120000"/>
    <n v="30000"/>
    <n v="0.2"/>
  </r>
  <r>
    <s v="ORD072"/>
    <s v="08-07-2024"/>
    <x v="6"/>
    <x v="3"/>
    <x v="2"/>
    <s v="Electronics"/>
    <n v="2"/>
    <n v="30000"/>
    <n v="24000"/>
    <n v="60000"/>
    <n v="48000"/>
    <n v="12000"/>
    <n v="0.2"/>
  </r>
  <r>
    <s v="ORD341"/>
    <s v="08-07-2024"/>
    <x v="6"/>
    <x v="3"/>
    <x v="2"/>
    <s v="Electronics"/>
    <n v="7"/>
    <n v="30000"/>
    <n v="24000"/>
    <n v="210000"/>
    <n v="168000"/>
    <n v="42000"/>
    <n v="0.2"/>
  </r>
  <r>
    <s v="ORD196"/>
    <s v="09-07-2024"/>
    <x v="6"/>
    <x v="0"/>
    <x v="0"/>
    <s v="Electronics"/>
    <n v="5"/>
    <n v="50000"/>
    <n v="40000"/>
    <n v="250000"/>
    <n v="200000"/>
    <n v="50000"/>
    <n v="0.2"/>
  </r>
  <r>
    <s v="ORD239"/>
    <s v="09-07-2024"/>
    <x v="6"/>
    <x v="3"/>
    <x v="2"/>
    <s v="Electronics"/>
    <n v="8"/>
    <n v="30000"/>
    <n v="24000"/>
    <n v="240000"/>
    <n v="192000"/>
    <n v="48000"/>
    <n v="0.2"/>
  </r>
  <r>
    <s v="ORD351"/>
    <s v="09-07-2024"/>
    <x v="6"/>
    <x v="1"/>
    <x v="3"/>
    <s v="Electronics"/>
    <n v="6"/>
    <n v="15000"/>
    <n v="11000"/>
    <n v="90000"/>
    <n v="66000"/>
    <n v="24000"/>
    <n v="0.26666666666666666"/>
  </r>
  <r>
    <s v="ORD262"/>
    <s v="12-07-2024"/>
    <x v="6"/>
    <x v="1"/>
    <x v="2"/>
    <s v="Electronics"/>
    <n v="10"/>
    <n v="30000"/>
    <n v="24000"/>
    <n v="300000"/>
    <n v="240000"/>
    <n v="60000"/>
    <n v="0.2"/>
  </r>
  <r>
    <s v="ORD031"/>
    <s v="13-07-2024"/>
    <x v="6"/>
    <x v="2"/>
    <x v="0"/>
    <s v="Electronics"/>
    <n v="5"/>
    <n v="50000"/>
    <n v="40000"/>
    <n v="250000"/>
    <n v="200000"/>
    <n v="50000"/>
    <n v="0.2"/>
  </r>
  <r>
    <s v="ORD142"/>
    <s v="13-07-2024"/>
    <x v="6"/>
    <x v="3"/>
    <x v="2"/>
    <s v="Electronics"/>
    <n v="7"/>
    <n v="30000"/>
    <n v="24000"/>
    <n v="210000"/>
    <n v="168000"/>
    <n v="42000"/>
    <n v="0.2"/>
  </r>
  <r>
    <s v="ORD324"/>
    <s v="13-07-2024"/>
    <x v="6"/>
    <x v="0"/>
    <x v="1"/>
    <s v="Accessories"/>
    <n v="6"/>
    <n v="2000"/>
    <n v="1200"/>
    <n v="12000"/>
    <n v="7200"/>
    <n v="4800"/>
    <n v="0.4"/>
  </r>
  <r>
    <s v="ORD249"/>
    <s v="15-07-2024"/>
    <x v="6"/>
    <x v="1"/>
    <x v="3"/>
    <s v="Electronics"/>
    <n v="8"/>
    <n v="15000"/>
    <n v="11000"/>
    <n v="120000"/>
    <n v="88000"/>
    <n v="32000"/>
    <n v="0.26666666666666666"/>
  </r>
  <r>
    <s v="ORD080"/>
    <s v="16-07-2024"/>
    <x v="6"/>
    <x v="2"/>
    <x v="4"/>
    <s v="Electronics"/>
    <n v="10"/>
    <n v="20000"/>
    <n v="15000"/>
    <n v="200000"/>
    <n v="150000"/>
    <n v="50000"/>
    <n v="0.25"/>
  </r>
  <r>
    <s v="ORD154"/>
    <s v="16-07-2024"/>
    <x v="6"/>
    <x v="3"/>
    <x v="4"/>
    <s v="Electronics"/>
    <n v="5"/>
    <n v="20000"/>
    <n v="15000"/>
    <n v="100000"/>
    <n v="75000"/>
    <n v="25000"/>
    <n v="0.25"/>
  </r>
  <r>
    <s v="ORD294"/>
    <s v="16-07-2024"/>
    <x v="6"/>
    <x v="3"/>
    <x v="3"/>
    <s v="Electronics"/>
    <n v="8"/>
    <n v="15000"/>
    <n v="11000"/>
    <n v="120000"/>
    <n v="88000"/>
    <n v="32000"/>
    <n v="0.26666666666666666"/>
  </r>
  <r>
    <s v="ORD220"/>
    <s v="19-07-2024"/>
    <x v="6"/>
    <x v="1"/>
    <x v="4"/>
    <s v="Electronics"/>
    <n v="9"/>
    <n v="20000"/>
    <n v="15000"/>
    <n v="180000"/>
    <n v="135000"/>
    <n v="45000"/>
    <n v="0.25"/>
  </r>
  <r>
    <s v="ORD021"/>
    <s v="20-07-2024"/>
    <x v="6"/>
    <x v="2"/>
    <x v="2"/>
    <s v="Electronics"/>
    <n v="6"/>
    <n v="30000"/>
    <n v="24000"/>
    <n v="180000"/>
    <n v="144000"/>
    <n v="36000"/>
    <n v="0.2"/>
  </r>
  <r>
    <s v="ORD082"/>
    <s v="20-07-2024"/>
    <x v="6"/>
    <x v="0"/>
    <x v="4"/>
    <s v="Electronics"/>
    <n v="8"/>
    <n v="20000"/>
    <n v="15000"/>
    <n v="160000"/>
    <n v="120000"/>
    <n v="40000"/>
    <n v="0.25"/>
  </r>
  <r>
    <s v="ORD329"/>
    <s v="22-07-2024"/>
    <x v="6"/>
    <x v="2"/>
    <x v="2"/>
    <s v="Electronics"/>
    <n v="6"/>
    <n v="30000"/>
    <n v="24000"/>
    <n v="180000"/>
    <n v="144000"/>
    <n v="36000"/>
    <n v="0.2"/>
  </r>
  <r>
    <s v="ORD383"/>
    <s v="22-07-2024"/>
    <x v="6"/>
    <x v="1"/>
    <x v="2"/>
    <s v="Electronics"/>
    <n v="8"/>
    <n v="30000"/>
    <n v="24000"/>
    <n v="240000"/>
    <n v="192000"/>
    <n v="48000"/>
    <n v="0.2"/>
  </r>
  <r>
    <s v="ORD065"/>
    <s v="23-07-2024"/>
    <x v="6"/>
    <x v="3"/>
    <x v="1"/>
    <s v="Accessories"/>
    <n v="10"/>
    <n v="2000"/>
    <n v="1200"/>
    <n v="20000"/>
    <n v="12000"/>
    <n v="8000"/>
    <n v="0.4"/>
  </r>
  <r>
    <s v="ORD342"/>
    <s v="26-07-2024"/>
    <x v="6"/>
    <x v="0"/>
    <x v="0"/>
    <s v="Electronics"/>
    <n v="4"/>
    <n v="50000"/>
    <n v="40000"/>
    <n v="200000"/>
    <n v="160000"/>
    <n v="40000"/>
    <n v="0.2"/>
  </r>
  <r>
    <s v="ORD011"/>
    <s v="30-07-2024"/>
    <x v="6"/>
    <x v="1"/>
    <x v="2"/>
    <s v="Electronics"/>
    <n v="9"/>
    <n v="30000"/>
    <n v="24000"/>
    <n v="270000"/>
    <n v="216000"/>
    <n v="54000"/>
    <n v="0.2"/>
  </r>
  <r>
    <s v="ORD178"/>
    <s v="30-07-2024"/>
    <x v="6"/>
    <x v="2"/>
    <x v="2"/>
    <s v="Electronics"/>
    <n v="10"/>
    <n v="30000"/>
    <n v="24000"/>
    <n v="300000"/>
    <n v="240000"/>
    <n v="60000"/>
    <n v="0.2"/>
  </r>
  <r>
    <s v="ORD343"/>
    <s v="30-07-2024"/>
    <x v="6"/>
    <x v="3"/>
    <x v="1"/>
    <s v="Accessories"/>
    <n v="10"/>
    <n v="2000"/>
    <n v="1200"/>
    <n v="20000"/>
    <n v="12000"/>
    <n v="8000"/>
    <n v="0.4"/>
  </r>
  <r>
    <s v="ORD362"/>
    <s v="30-07-2024"/>
    <x v="6"/>
    <x v="2"/>
    <x v="3"/>
    <s v="Electronics"/>
    <n v="9"/>
    <n v="15000"/>
    <n v="11000"/>
    <n v="135000"/>
    <n v="99000"/>
    <n v="36000"/>
    <n v="0.26666666666666666"/>
  </r>
  <r>
    <s v="ORD151"/>
    <s v="31-07-2024"/>
    <x v="6"/>
    <x v="0"/>
    <x v="2"/>
    <s v="Electronics"/>
    <n v="3"/>
    <n v="30000"/>
    <n v="24000"/>
    <n v="90000"/>
    <n v="72000"/>
    <n v="18000"/>
    <n v="0.2"/>
  </r>
  <r>
    <s v="ORD213"/>
    <s v="31-07-2024"/>
    <x v="6"/>
    <x v="0"/>
    <x v="3"/>
    <s v="Electronics"/>
    <n v="3"/>
    <n v="15000"/>
    <n v="11000"/>
    <n v="45000"/>
    <n v="33000"/>
    <n v="12000"/>
    <n v="0.26666666666666666"/>
  </r>
  <r>
    <s v="ORD002"/>
    <s v="02-08-2024"/>
    <x v="7"/>
    <x v="0"/>
    <x v="1"/>
    <s v="Accessories"/>
    <n v="10"/>
    <n v="2000"/>
    <n v="1200"/>
    <n v="20000"/>
    <n v="12000"/>
    <n v="8000"/>
    <n v="0.4"/>
  </r>
  <r>
    <s v="ORD040"/>
    <s v="02-08-2024"/>
    <x v="7"/>
    <x v="3"/>
    <x v="1"/>
    <s v="Accessories"/>
    <n v="2"/>
    <n v="2000"/>
    <n v="1200"/>
    <n v="4000"/>
    <n v="2400"/>
    <n v="1600"/>
    <n v="0.4"/>
  </r>
  <r>
    <s v="ORD317"/>
    <s v="02-08-2024"/>
    <x v="7"/>
    <x v="1"/>
    <x v="4"/>
    <s v="Electronics"/>
    <n v="4"/>
    <n v="20000"/>
    <n v="15000"/>
    <n v="80000"/>
    <n v="60000"/>
    <n v="20000"/>
    <n v="0.25"/>
  </r>
  <r>
    <s v="ORD321"/>
    <s v="03-08-2024"/>
    <x v="7"/>
    <x v="2"/>
    <x v="0"/>
    <s v="Electronics"/>
    <n v="2"/>
    <n v="50000"/>
    <n v="40000"/>
    <n v="100000"/>
    <n v="80000"/>
    <n v="20000"/>
    <n v="0.2"/>
  </r>
  <r>
    <s v="ORD062"/>
    <s v="05-08-2024"/>
    <x v="7"/>
    <x v="3"/>
    <x v="3"/>
    <s v="Electronics"/>
    <n v="8"/>
    <n v="15000"/>
    <n v="11000"/>
    <n v="120000"/>
    <n v="88000"/>
    <n v="32000"/>
    <n v="0.26666666666666666"/>
  </r>
  <r>
    <s v="ORD051"/>
    <s v="07-08-2024"/>
    <x v="7"/>
    <x v="3"/>
    <x v="3"/>
    <s v="Electronics"/>
    <n v="8"/>
    <n v="15000"/>
    <n v="11000"/>
    <n v="120000"/>
    <n v="88000"/>
    <n v="32000"/>
    <n v="0.26666666666666666"/>
  </r>
  <r>
    <s v="ORD340"/>
    <s v="07-08-2024"/>
    <x v="7"/>
    <x v="3"/>
    <x v="1"/>
    <s v="Accessories"/>
    <n v="3"/>
    <n v="2000"/>
    <n v="1200"/>
    <n v="6000"/>
    <n v="3600"/>
    <n v="2400"/>
    <n v="0.4"/>
  </r>
  <r>
    <s v="ORD369"/>
    <s v="07-08-2024"/>
    <x v="7"/>
    <x v="1"/>
    <x v="1"/>
    <s v="Accessories"/>
    <n v="10"/>
    <n v="2000"/>
    <n v="1200"/>
    <n v="20000"/>
    <n v="12000"/>
    <n v="8000"/>
    <n v="0.4"/>
  </r>
  <r>
    <s v="ORD121"/>
    <s v="09-08-2024"/>
    <x v="7"/>
    <x v="0"/>
    <x v="1"/>
    <s v="Accessories"/>
    <n v="6"/>
    <n v="2000"/>
    <n v="1200"/>
    <n v="12000"/>
    <n v="7200"/>
    <n v="4800"/>
    <n v="0.4"/>
  </r>
  <r>
    <s v="ORD344"/>
    <s v="09-08-2024"/>
    <x v="7"/>
    <x v="2"/>
    <x v="1"/>
    <s v="Accessories"/>
    <n v="2"/>
    <n v="2000"/>
    <n v="1200"/>
    <n v="4000"/>
    <n v="2400"/>
    <n v="1600"/>
    <n v="0.4"/>
  </r>
  <r>
    <s v="ORD348"/>
    <s v="09-08-2024"/>
    <x v="7"/>
    <x v="2"/>
    <x v="3"/>
    <s v="Electronics"/>
    <n v="5"/>
    <n v="15000"/>
    <n v="11000"/>
    <n v="75000"/>
    <n v="55000"/>
    <n v="20000"/>
    <n v="0.26666666666666666"/>
  </r>
  <r>
    <s v="ORD271"/>
    <s v="10-08-2024"/>
    <x v="7"/>
    <x v="3"/>
    <x v="0"/>
    <s v="Electronics"/>
    <n v="10"/>
    <n v="50000"/>
    <n v="40000"/>
    <n v="500000"/>
    <n v="400000"/>
    <n v="100000"/>
    <n v="0.2"/>
  </r>
  <r>
    <s v="ORD180"/>
    <s v="12-08-2024"/>
    <x v="7"/>
    <x v="1"/>
    <x v="2"/>
    <s v="Electronics"/>
    <n v="8"/>
    <n v="30000"/>
    <n v="24000"/>
    <n v="240000"/>
    <n v="192000"/>
    <n v="48000"/>
    <n v="0.2"/>
  </r>
  <r>
    <s v="ORD336"/>
    <s v="12-08-2024"/>
    <x v="7"/>
    <x v="1"/>
    <x v="3"/>
    <s v="Electronics"/>
    <n v="3"/>
    <n v="15000"/>
    <n v="11000"/>
    <n v="45000"/>
    <n v="33000"/>
    <n v="12000"/>
    <n v="0.26666666666666666"/>
  </r>
  <r>
    <s v="ORD259"/>
    <s v="14-08-2024"/>
    <x v="7"/>
    <x v="2"/>
    <x v="4"/>
    <s v="Electronics"/>
    <n v="10"/>
    <n v="20000"/>
    <n v="15000"/>
    <n v="200000"/>
    <n v="150000"/>
    <n v="50000"/>
    <n v="0.25"/>
  </r>
  <r>
    <s v="ORD353"/>
    <s v="14-08-2024"/>
    <x v="7"/>
    <x v="3"/>
    <x v="0"/>
    <s v="Electronics"/>
    <n v="3"/>
    <n v="50000"/>
    <n v="40000"/>
    <n v="150000"/>
    <n v="120000"/>
    <n v="30000"/>
    <n v="0.2"/>
  </r>
  <r>
    <s v="ORD398"/>
    <s v="14-08-2024"/>
    <x v="7"/>
    <x v="2"/>
    <x v="0"/>
    <s v="Electronics"/>
    <n v="2"/>
    <n v="50000"/>
    <n v="40000"/>
    <n v="100000"/>
    <n v="80000"/>
    <n v="20000"/>
    <n v="0.2"/>
  </r>
  <r>
    <s v="ORD386"/>
    <s v="15-08-2024"/>
    <x v="7"/>
    <x v="3"/>
    <x v="0"/>
    <s v="Electronics"/>
    <n v="4"/>
    <n v="50000"/>
    <n v="40000"/>
    <n v="200000"/>
    <n v="160000"/>
    <n v="40000"/>
    <n v="0.2"/>
  </r>
  <r>
    <s v="ORD307"/>
    <s v="16-08-2024"/>
    <x v="7"/>
    <x v="1"/>
    <x v="4"/>
    <s v="Electronics"/>
    <n v="3"/>
    <n v="20000"/>
    <n v="15000"/>
    <n v="60000"/>
    <n v="45000"/>
    <n v="15000"/>
    <n v="0.25"/>
  </r>
  <r>
    <s v="ORD355"/>
    <s v="16-08-2024"/>
    <x v="7"/>
    <x v="2"/>
    <x v="0"/>
    <s v="Electronics"/>
    <n v="2"/>
    <n v="50000"/>
    <n v="40000"/>
    <n v="100000"/>
    <n v="80000"/>
    <n v="20000"/>
    <n v="0.2"/>
  </r>
  <r>
    <s v="ORD143"/>
    <s v="17-08-2024"/>
    <x v="7"/>
    <x v="3"/>
    <x v="4"/>
    <s v="Electronics"/>
    <n v="10"/>
    <n v="20000"/>
    <n v="15000"/>
    <n v="200000"/>
    <n v="150000"/>
    <n v="50000"/>
    <n v="0.25"/>
  </r>
  <r>
    <s v="ORD274"/>
    <s v="20-08-2024"/>
    <x v="7"/>
    <x v="3"/>
    <x v="4"/>
    <s v="Electronics"/>
    <n v="10"/>
    <n v="20000"/>
    <n v="15000"/>
    <n v="200000"/>
    <n v="150000"/>
    <n v="50000"/>
    <n v="0.25"/>
  </r>
  <r>
    <s v="ORD326"/>
    <s v="20-08-2024"/>
    <x v="7"/>
    <x v="2"/>
    <x v="1"/>
    <s v="Accessories"/>
    <n v="5"/>
    <n v="2000"/>
    <n v="1200"/>
    <n v="10000"/>
    <n v="6000"/>
    <n v="4000"/>
    <n v="0.4"/>
  </r>
  <r>
    <s v="ORD357"/>
    <s v="20-08-2024"/>
    <x v="7"/>
    <x v="0"/>
    <x v="3"/>
    <s v="Electronics"/>
    <n v="2"/>
    <n v="15000"/>
    <n v="11000"/>
    <n v="30000"/>
    <n v="22000"/>
    <n v="8000"/>
    <n v="0.26666666666666666"/>
  </r>
  <r>
    <s v="ORD041"/>
    <s v="21-08-2024"/>
    <x v="7"/>
    <x v="3"/>
    <x v="1"/>
    <s v="Accessories"/>
    <n v="5"/>
    <n v="2000"/>
    <n v="1200"/>
    <n v="10000"/>
    <n v="6000"/>
    <n v="4000"/>
    <n v="0.4"/>
  </r>
  <r>
    <s v="ORD200"/>
    <s v="22-08-2024"/>
    <x v="7"/>
    <x v="2"/>
    <x v="1"/>
    <s v="Accessories"/>
    <n v="9"/>
    <n v="2000"/>
    <n v="1200"/>
    <n v="18000"/>
    <n v="10800"/>
    <n v="7200"/>
    <n v="0.4"/>
  </r>
  <r>
    <s v="ORD206"/>
    <s v="24-08-2024"/>
    <x v="7"/>
    <x v="3"/>
    <x v="1"/>
    <s v="Accessories"/>
    <n v="5"/>
    <n v="2000"/>
    <n v="1200"/>
    <n v="10000"/>
    <n v="6000"/>
    <n v="4000"/>
    <n v="0.4"/>
  </r>
  <r>
    <s v="ORD228"/>
    <s v="24-08-2024"/>
    <x v="7"/>
    <x v="3"/>
    <x v="1"/>
    <s v="Accessories"/>
    <n v="7"/>
    <n v="2000"/>
    <n v="1200"/>
    <n v="14000"/>
    <n v="8400"/>
    <n v="5600"/>
    <n v="0.4"/>
  </r>
  <r>
    <s v="ORD240"/>
    <s v="24-08-2024"/>
    <x v="7"/>
    <x v="1"/>
    <x v="4"/>
    <s v="Electronics"/>
    <n v="9"/>
    <n v="20000"/>
    <n v="15000"/>
    <n v="180000"/>
    <n v="135000"/>
    <n v="45000"/>
    <n v="0.25"/>
  </r>
  <r>
    <s v="ORD257"/>
    <s v="24-08-2024"/>
    <x v="7"/>
    <x v="1"/>
    <x v="0"/>
    <s v="Electronics"/>
    <n v="5"/>
    <n v="50000"/>
    <n v="40000"/>
    <n v="250000"/>
    <n v="200000"/>
    <n v="50000"/>
    <n v="0.2"/>
  </r>
  <r>
    <s v="ORD022"/>
    <s v="26-08-2024"/>
    <x v="7"/>
    <x v="1"/>
    <x v="4"/>
    <s v="Electronics"/>
    <n v="3"/>
    <n v="20000"/>
    <n v="15000"/>
    <n v="60000"/>
    <n v="45000"/>
    <n v="15000"/>
    <n v="0.25"/>
  </r>
  <r>
    <s v="ORD098"/>
    <s v="26-08-2024"/>
    <x v="7"/>
    <x v="1"/>
    <x v="2"/>
    <s v="Electronics"/>
    <n v="1"/>
    <n v="30000"/>
    <n v="24000"/>
    <n v="30000"/>
    <n v="24000"/>
    <n v="6000"/>
    <n v="0.2"/>
  </r>
  <r>
    <s v="ORD019"/>
    <s v="27-08-2024"/>
    <x v="7"/>
    <x v="2"/>
    <x v="1"/>
    <s v="Accessories"/>
    <n v="3"/>
    <n v="2000"/>
    <n v="1200"/>
    <n v="6000"/>
    <n v="3600"/>
    <n v="2400"/>
    <n v="0.4"/>
  </r>
  <r>
    <s v="ORD036"/>
    <s v="27-08-2024"/>
    <x v="7"/>
    <x v="0"/>
    <x v="1"/>
    <s v="Accessories"/>
    <n v="7"/>
    <n v="2000"/>
    <n v="1200"/>
    <n v="14000"/>
    <n v="8400"/>
    <n v="5600"/>
    <n v="0.4"/>
  </r>
  <r>
    <s v="ORD137"/>
    <s v="28-08-2024"/>
    <x v="7"/>
    <x v="2"/>
    <x v="2"/>
    <s v="Electronics"/>
    <n v="6"/>
    <n v="30000"/>
    <n v="24000"/>
    <n v="180000"/>
    <n v="144000"/>
    <n v="36000"/>
    <n v="0.2"/>
  </r>
  <r>
    <s v="ORD282"/>
    <s v="29-08-2024"/>
    <x v="7"/>
    <x v="0"/>
    <x v="2"/>
    <s v="Electronics"/>
    <n v="9"/>
    <n v="30000"/>
    <n v="24000"/>
    <n v="270000"/>
    <n v="216000"/>
    <n v="54000"/>
    <n v="0.2"/>
  </r>
  <r>
    <s v="ORD184"/>
    <s v="30-08-2024"/>
    <x v="7"/>
    <x v="0"/>
    <x v="0"/>
    <s v="Electronics"/>
    <n v="4"/>
    <n v="50000"/>
    <n v="40000"/>
    <n v="200000"/>
    <n v="160000"/>
    <n v="40000"/>
    <n v="0.2"/>
  </r>
  <r>
    <s v="ORD208"/>
    <s v="30-08-2024"/>
    <x v="7"/>
    <x v="3"/>
    <x v="4"/>
    <s v="Electronics"/>
    <n v="5"/>
    <n v="20000"/>
    <n v="15000"/>
    <n v="100000"/>
    <n v="75000"/>
    <n v="25000"/>
    <n v="0.25"/>
  </r>
  <r>
    <s v="ORD251"/>
    <s v="30-08-2024"/>
    <x v="7"/>
    <x v="3"/>
    <x v="4"/>
    <s v="Electronics"/>
    <n v="7"/>
    <n v="20000"/>
    <n v="15000"/>
    <n v="140000"/>
    <n v="105000"/>
    <n v="35000"/>
    <n v="0.25"/>
  </r>
  <r>
    <s v="ORD289"/>
    <s v="30-08-2024"/>
    <x v="7"/>
    <x v="1"/>
    <x v="0"/>
    <s v="Electronics"/>
    <n v="9"/>
    <n v="50000"/>
    <n v="40000"/>
    <n v="450000"/>
    <n v="360000"/>
    <n v="90000"/>
    <n v="0.2"/>
  </r>
  <r>
    <s v="ORD179"/>
    <s v="01-09-2024"/>
    <x v="8"/>
    <x v="1"/>
    <x v="3"/>
    <s v="Electronics"/>
    <n v="6"/>
    <n v="15000"/>
    <n v="11000"/>
    <n v="90000"/>
    <n v="66000"/>
    <n v="24000"/>
    <n v="0.26666666666666666"/>
  </r>
  <r>
    <s v="ORD236"/>
    <s v="01-09-2024"/>
    <x v="8"/>
    <x v="1"/>
    <x v="4"/>
    <s v="Electronics"/>
    <n v="5"/>
    <n v="20000"/>
    <n v="15000"/>
    <n v="100000"/>
    <n v="75000"/>
    <n v="25000"/>
    <n v="0.25"/>
  </r>
  <r>
    <s v="ORD246"/>
    <s v="01-09-2024"/>
    <x v="8"/>
    <x v="1"/>
    <x v="4"/>
    <s v="Electronics"/>
    <n v="9"/>
    <n v="20000"/>
    <n v="15000"/>
    <n v="180000"/>
    <n v="135000"/>
    <n v="45000"/>
    <n v="0.25"/>
  </r>
  <r>
    <s v="ORD058"/>
    <s v="04-09-2024"/>
    <x v="8"/>
    <x v="1"/>
    <x v="2"/>
    <s v="Electronics"/>
    <n v="6"/>
    <n v="30000"/>
    <n v="24000"/>
    <n v="180000"/>
    <n v="144000"/>
    <n v="36000"/>
    <n v="0.2"/>
  </r>
  <r>
    <s v="ORD078"/>
    <s v="04-09-2024"/>
    <x v="8"/>
    <x v="3"/>
    <x v="4"/>
    <s v="Electronics"/>
    <n v="10"/>
    <n v="20000"/>
    <n v="15000"/>
    <n v="200000"/>
    <n v="150000"/>
    <n v="50000"/>
    <n v="0.25"/>
  </r>
  <r>
    <s v="ORD147"/>
    <s v="06-09-2024"/>
    <x v="8"/>
    <x v="2"/>
    <x v="2"/>
    <s v="Electronics"/>
    <n v="4"/>
    <n v="30000"/>
    <n v="24000"/>
    <n v="120000"/>
    <n v="96000"/>
    <n v="24000"/>
    <n v="0.2"/>
  </r>
  <r>
    <s v="ORD250"/>
    <s v="06-09-2024"/>
    <x v="8"/>
    <x v="1"/>
    <x v="3"/>
    <s v="Electronics"/>
    <n v="10"/>
    <n v="15000"/>
    <n v="11000"/>
    <n v="150000"/>
    <n v="110000"/>
    <n v="40000"/>
    <n v="0.26666666666666666"/>
  </r>
  <r>
    <s v="ORD375"/>
    <s v="06-09-2024"/>
    <x v="8"/>
    <x v="3"/>
    <x v="3"/>
    <s v="Electronics"/>
    <n v="8"/>
    <n v="15000"/>
    <n v="11000"/>
    <n v="120000"/>
    <n v="88000"/>
    <n v="32000"/>
    <n v="0.26666666666666666"/>
  </r>
  <r>
    <s v="ORD149"/>
    <s v="07-09-2024"/>
    <x v="8"/>
    <x v="0"/>
    <x v="1"/>
    <s v="Accessories"/>
    <n v="7"/>
    <n v="2000"/>
    <n v="1200"/>
    <n v="14000"/>
    <n v="8400"/>
    <n v="5600"/>
    <n v="0.4"/>
  </r>
  <r>
    <s v="ORD265"/>
    <s v="08-09-2024"/>
    <x v="8"/>
    <x v="0"/>
    <x v="0"/>
    <s v="Electronics"/>
    <n v="8"/>
    <n v="50000"/>
    <n v="40000"/>
    <n v="400000"/>
    <n v="320000"/>
    <n v="80000"/>
    <n v="0.2"/>
  </r>
  <r>
    <s v="ORD127"/>
    <s v="10-09-2024"/>
    <x v="8"/>
    <x v="0"/>
    <x v="3"/>
    <s v="Electronics"/>
    <n v="10"/>
    <n v="15000"/>
    <n v="11000"/>
    <n v="150000"/>
    <n v="110000"/>
    <n v="40000"/>
    <n v="0.26666666666666666"/>
  </r>
  <r>
    <s v="ORD229"/>
    <s v="12-09-2024"/>
    <x v="8"/>
    <x v="2"/>
    <x v="0"/>
    <s v="Electronics"/>
    <n v="10"/>
    <n v="50000"/>
    <n v="40000"/>
    <n v="500000"/>
    <n v="400000"/>
    <n v="100000"/>
    <n v="0.2"/>
  </r>
  <r>
    <s v="ORD258"/>
    <s v="12-09-2024"/>
    <x v="8"/>
    <x v="2"/>
    <x v="2"/>
    <s v="Electronics"/>
    <n v="2"/>
    <n v="30000"/>
    <n v="24000"/>
    <n v="60000"/>
    <n v="48000"/>
    <n v="12000"/>
    <n v="0.2"/>
  </r>
  <r>
    <s v="ORD290"/>
    <s v="12-09-2024"/>
    <x v="8"/>
    <x v="3"/>
    <x v="3"/>
    <s v="Electronics"/>
    <n v="4"/>
    <n v="15000"/>
    <n v="11000"/>
    <n v="60000"/>
    <n v="44000"/>
    <n v="16000"/>
    <n v="0.26666666666666666"/>
  </r>
  <r>
    <s v="ORD032"/>
    <s v="13-09-2024"/>
    <x v="8"/>
    <x v="2"/>
    <x v="4"/>
    <s v="Electronics"/>
    <n v="1"/>
    <n v="20000"/>
    <n v="15000"/>
    <n v="20000"/>
    <n v="15000"/>
    <n v="5000"/>
    <n v="0.25"/>
  </r>
  <r>
    <s v="ORD068"/>
    <s v="13-09-2024"/>
    <x v="8"/>
    <x v="3"/>
    <x v="3"/>
    <s v="Electronics"/>
    <n v="10"/>
    <n v="15000"/>
    <n v="11000"/>
    <n v="150000"/>
    <n v="110000"/>
    <n v="40000"/>
    <n v="0.26666666666666666"/>
  </r>
  <r>
    <s v="ORD311"/>
    <s v="13-09-2024"/>
    <x v="8"/>
    <x v="3"/>
    <x v="4"/>
    <s v="Electronics"/>
    <n v="1"/>
    <n v="20000"/>
    <n v="15000"/>
    <n v="20000"/>
    <n v="15000"/>
    <n v="5000"/>
    <n v="0.25"/>
  </r>
  <r>
    <s v="ORD337"/>
    <s v="13-09-2024"/>
    <x v="8"/>
    <x v="3"/>
    <x v="4"/>
    <s v="Electronics"/>
    <n v="7"/>
    <n v="20000"/>
    <n v="15000"/>
    <n v="140000"/>
    <n v="105000"/>
    <n v="35000"/>
    <n v="0.25"/>
  </r>
  <r>
    <s v="ORD387"/>
    <s v="13-09-2024"/>
    <x v="8"/>
    <x v="2"/>
    <x v="4"/>
    <s v="Electronics"/>
    <n v="2"/>
    <n v="20000"/>
    <n v="15000"/>
    <n v="40000"/>
    <n v="30000"/>
    <n v="10000"/>
    <n v="0.25"/>
  </r>
  <r>
    <s v="ORD020"/>
    <s v="14-09-2024"/>
    <x v="8"/>
    <x v="2"/>
    <x v="2"/>
    <s v="Electronics"/>
    <n v="7"/>
    <n v="30000"/>
    <n v="24000"/>
    <n v="210000"/>
    <n v="168000"/>
    <n v="42000"/>
    <n v="0.2"/>
  </r>
  <r>
    <s v="ORD111"/>
    <s v="14-09-2024"/>
    <x v="8"/>
    <x v="3"/>
    <x v="0"/>
    <s v="Electronics"/>
    <n v="6"/>
    <n v="50000"/>
    <n v="40000"/>
    <n v="300000"/>
    <n v="240000"/>
    <n v="60000"/>
    <n v="0.2"/>
  </r>
  <r>
    <s v="ORD393"/>
    <s v="15-09-2024"/>
    <x v="8"/>
    <x v="2"/>
    <x v="3"/>
    <s v="Electronics"/>
    <n v="5"/>
    <n v="15000"/>
    <n v="11000"/>
    <n v="75000"/>
    <n v="55000"/>
    <n v="20000"/>
    <n v="0.26666666666666666"/>
  </r>
  <r>
    <s v="ORD103"/>
    <s v="17-09-2024"/>
    <x v="8"/>
    <x v="3"/>
    <x v="4"/>
    <s v="Electronics"/>
    <n v="3"/>
    <n v="20000"/>
    <n v="15000"/>
    <n v="60000"/>
    <n v="45000"/>
    <n v="15000"/>
    <n v="0.25"/>
  </r>
  <r>
    <s v="ORD136"/>
    <s v="17-09-2024"/>
    <x v="8"/>
    <x v="0"/>
    <x v="3"/>
    <s v="Electronics"/>
    <n v="6"/>
    <n v="15000"/>
    <n v="11000"/>
    <n v="90000"/>
    <n v="66000"/>
    <n v="24000"/>
    <n v="0.26666666666666666"/>
  </r>
  <r>
    <s v="ORD150"/>
    <s v="18-09-2024"/>
    <x v="8"/>
    <x v="2"/>
    <x v="4"/>
    <s v="Electronics"/>
    <n v="6"/>
    <n v="20000"/>
    <n v="15000"/>
    <n v="120000"/>
    <n v="90000"/>
    <n v="30000"/>
    <n v="0.25"/>
  </r>
  <r>
    <s v="ORD064"/>
    <s v="19-09-2024"/>
    <x v="8"/>
    <x v="2"/>
    <x v="0"/>
    <s v="Electronics"/>
    <n v="1"/>
    <n v="50000"/>
    <n v="40000"/>
    <n v="50000"/>
    <n v="40000"/>
    <n v="10000"/>
    <n v="0.2"/>
  </r>
  <r>
    <s v="ORD396"/>
    <s v="20-09-2024"/>
    <x v="8"/>
    <x v="2"/>
    <x v="3"/>
    <s v="Electronics"/>
    <n v="1"/>
    <n v="15000"/>
    <n v="11000"/>
    <n v="15000"/>
    <n v="11000"/>
    <n v="4000"/>
    <n v="0.26666666666666666"/>
  </r>
  <r>
    <s v="ORD070"/>
    <s v="23-09-2024"/>
    <x v="8"/>
    <x v="0"/>
    <x v="4"/>
    <s v="Electronics"/>
    <n v="4"/>
    <n v="20000"/>
    <n v="15000"/>
    <n v="80000"/>
    <n v="60000"/>
    <n v="20000"/>
    <n v="0.25"/>
  </r>
  <r>
    <s v="ORD097"/>
    <s v="24-09-2024"/>
    <x v="8"/>
    <x v="1"/>
    <x v="4"/>
    <s v="Electronics"/>
    <n v="10"/>
    <n v="20000"/>
    <n v="15000"/>
    <n v="200000"/>
    <n v="150000"/>
    <n v="50000"/>
    <n v="0.25"/>
  </r>
  <r>
    <s v="ORD384"/>
    <s v="24-09-2024"/>
    <x v="8"/>
    <x v="1"/>
    <x v="1"/>
    <s v="Accessories"/>
    <n v="5"/>
    <n v="2000"/>
    <n v="1200"/>
    <n v="10000"/>
    <n v="6000"/>
    <n v="4000"/>
    <n v="0.4"/>
  </r>
  <r>
    <s v="ORD028"/>
    <s v="25-09-2024"/>
    <x v="8"/>
    <x v="1"/>
    <x v="1"/>
    <s v="Accessories"/>
    <n v="8"/>
    <n v="2000"/>
    <n v="1200"/>
    <n v="16000"/>
    <n v="9600"/>
    <n v="6400"/>
    <n v="0.4"/>
  </r>
  <r>
    <s v="ORD185"/>
    <s v="26-09-2024"/>
    <x v="8"/>
    <x v="1"/>
    <x v="4"/>
    <s v="Electronics"/>
    <n v="6"/>
    <n v="20000"/>
    <n v="15000"/>
    <n v="120000"/>
    <n v="90000"/>
    <n v="30000"/>
    <n v="0.25"/>
  </r>
  <r>
    <s v="ORD090"/>
    <s v="27-09-2024"/>
    <x v="8"/>
    <x v="2"/>
    <x v="4"/>
    <s v="Electronics"/>
    <n v="3"/>
    <n v="20000"/>
    <n v="15000"/>
    <n v="60000"/>
    <n v="45000"/>
    <n v="15000"/>
    <n v="0.25"/>
  </r>
  <r>
    <s v="ORD038"/>
    <s v="28-09-2024"/>
    <x v="8"/>
    <x v="3"/>
    <x v="1"/>
    <s v="Accessories"/>
    <n v="1"/>
    <n v="2000"/>
    <n v="1200"/>
    <n v="2000"/>
    <n v="1200"/>
    <n v="800"/>
    <n v="0.4"/>
  </r>
  <r>
    <s v="ORD333"/>
    <s v="28-09-2024"/>
    <x v="8"/>
    <x v="0"/>
    <x v="4"/>
    <s v="Electronics"/>
    <n v="5"/>
    <n v="20000"/>
    <n v="15000"/>
    <n v="100000"/>
    <n v="75000"/>
    <n v="25000"/>
    <n v="0.25"/>
  </r>
  <r>
    <s v="ORD273"/>
    <s v="01-10-2024"/>
    <x v="9"/>
    <x v="2"/>
    <x v="2"/>
    <s v="Electronics"/>
    <n v="8"/>
    <n v="30000"/>
    <n v="24000"/>
    <n v="240000"/>
    <n v="192000"/>
    <n v="48000"/>
    <n v="0.2"/>
  </r>
  <r>
    <s v="ORD291"/>
    <s v="01-10-2024"/>
    <x v="9"/>
    <x v="3"/>
    <x v="4"/>
    <s v="Electronics"/>
    <n v="5"/>
    <n v="20000"/>
    <n v="15000"/>
    <n v="100000"/>
    <n v="75000"/>
    <n v="25000"/>
    <n v="0.25"/>
  </r>
  <r>
    <s v="ORD378"/>
    <s v="02-10-2024"/>
    <x v="9"/>
    <x v="1"/>
    <x v="3"/>
    <s v="Electronics"/>
    <n v="9"/>
    <n v="15000"/>
    <n v="11000"/>
    <n v="135000"/>
    <n v="99000"/>
    <n v="36000"/>
    <n v="0.26666666666666666"/>
  </r>
  <r>
    <s v="ORD385"/>
    <s v="03-10-2024"/>
    <x v="9"/>
    <x v="2"/>
    <x v="3"/>
    <s v="Electronics"/>
    <n v="9"/>
    <n v="15000"/>
    <n v="11000"/>
    <n v="135000"/>
    <n v="99000"/>
    <n v="36000"/>
    <n v="0.26666666666666666"/>
  </r>
  <r>
    <s v="ORD388"/>
    <s v="04-10-2024"/>
    <x v="9"/>
    <x v="2"/>
    <x v="1"/>
    <s v="Accessories"/>
    <n v="2"/>
    <n v="2000"/>
    <n v="1200"/>
    <n v="4000"/>
    <n v="2400"/>
    <n v="1600"/>
    <n v="0.4"/>
  </r>
  <r>
    <s v="ORD216"/>
    <s v="05-10-2024"/>
    <x v="9"/>
    <x v="0"/>
    <x v="1"/>
    <s v="Accessories"/>
    <n v="8"/>
    <n v="2000"/>
    <n v="1200"/>
    <n v="16000"/>
    <n v="9600"/>
    <n v="6400"/>
    <n v="0.4"/>
  </r>
  <r>
    <s v="ORD392"/>
    <s v="06-10-2024"/>
    <x v="9"/>
    <x v="2"/>
    <x v="0"/>
    <s v="Electronics"/>
    <n v="6"/>
    <n v="50000"/>
    <n v="40000"/>
    <n v="300000"/>
    <n v="240000"/>
    <n v="60000"/>
    <n v="0.2"/>
  </r>
  <r>
    <s v="ORD280"/>
    <s v="07-10-2024"/>
    <x v="9"/>
    <x v="0"/>
    <x v="2"/>
    <s v="Electronics"/>
    <n v="4"/>
    <n v="30000"/>
    <n v="24000"/>
    <n v="120000"/>
    <n v="96000"/>
    <n v="24000"/>
    <n v="0.2"/>
  </r>
  <r>
    <s v="ORD218"/>
    <s v="08-10-2024"/>
    <x v="9"/>
    <x v="1"/>
    <x v="0"/>
    <s v="Electronics"/>
    <n v="2"/>
    <n v="50000"/>
    <n v="40000"/>
    <n v="100000"/>
    <n v="80000"/>
    <n v="20000"/>
    <n v="0.2"/>
  </r>
  <r>
    <s v="ORD054"/>
    <s v="09-10-2024"/>
    <x v="9"/>
    <x v="3"/>
    <x v="0"/>
    <s v="Electronics"/>
    <n v="8"/>
    <n v="50000"/>
    <n v="40000"/>
    <n v="400000"/>
    <n v="320000"/>
    <n v="80000"/>
    <n v="0.2"/>
  </r>
  <r>
    <s v="ORD368"/>
    <s v="09-10-2024"/>
    <x v="9"/>
    <x v="1"/>
    <x v="4"/>
    <s v="Electronics"/>
    <n v="1"/>
    <n v="20000"/>
    <n v="15000"/>
    <n v="20000"/>
    <n v="15000"/>
    <n v="5000"/>
    <n v="0.25"/>
  </r>
  <r>
    <s v="ORD096"/>
    <s v="10-10-2024"/>
    <x v="9"/>
    <x v="1"/>
    <x v="1"/>
    <s v="Accessories"/>
    <n v="8"/>
    <n v="2000"/>
    <n v="1200"/>
    <n v="16000"/>
    <n v="9600"/>
    <n v="6400"/>
    <n v="0.4"/>
  </r>
  <r>
    <s v="ORD107"/>
    <s v="11-10-2024"/>
    <x v="9"/>
    <x v="3"/>
    <x v="1"/>
    <s v="Accessories"/>
    <n v="10"/>
    <n v="2000"/>
    <n v="1200"/>
    <n v="20000"/>
    <n v="12000"/>
    <n v="8000"/>
    <n v="0.4"/>
  </r>
  <r>
    <s v="ORD215"/>
    <s v="11-10-2024"/>
    <x v="9"/>
    <x v="3"/>
    <x v="3"/>
    <s v="Electronics"/>
    <n v="10"/>
    <n v="15000"/>
    <n v="11000"/>
    <n v="150000"/>
    <n v="110000"/>
    <n v="40000"/>
    <n v="0.26666666666666666"/>
  </r>
  <r>
    <s v="ORD204"/>
    <s v="12-10-2024"/>
    <x v="9"/>
    <x v="1"/>
    <x v="2"/>
    <s v="Electronics"/>
    <n v="2"/>
    <n v="30000"/>
    <n v="24000"/>
    <n v="60000"/>
    <n v="48000"/>
    <n v="12000"/>
    <n v="0.2"/>
  </r>
  <r>
    <s v="ORD377"/>
    <s v="12-10-2024"/>
    <x v="9"/>
    <x v="3"/>
    <x v="4"/>
    <s v="Electronics"/>
    <n v="2"/>
    <n v="20000"/>
    <n v="15000"/>
    <n v="40000"/>
    <n v="30000"/>
    <n v="10000"/>
    <n v="0.25"/>
  </r>
  <r>
    <s v="ORD159"/>
    <s v="13-10-2024"/>
    <x v="9"/>
    <x v="1"/>
    <x v="3"/>
    <s v="Electronics"/>
    <n v="5"/>
    <n v="15000"/>
    <n v="11000"/>
    <n v="75000"/>
    <n v="55000"/>
    <n v="20000"/>
    <n v="0.26666666666666666"/>
  </r>
  <r>
    <s v="ORD370"/>
    <s v="13-10-2024"/>
    <x v="9"/>
    <x v="3"/>
    <x v="2"/>
    <s v="Electronics"/>
    <n v="4"/>
    <n v="30000"/>
    <n v="24000"/>
    <n v="120000"/>
    <n v="96000"/>
    <n v="24000"/>
    <n v="0.2"/>
  </r>
  <r>
    <s v="ORD026"/>
    <s v="14-10-2024"/>
    <x v="9"/>
    <x v="3"/>
    <x v="4"/>
    <s v="Electronics"/>
    <n v="10"/>
    <n v="20000"/>
    <n v="15000"/>
    <n v="200000"/>
    <n v="150000"/>
    <n v="50000"/>
    <n v="0.25"/>
  </r>
  <r>
    <s v="ORD084"/>
    <s v="14-10-2024"/>
    <x v="9"/>
    <x v="1"/>
    <x v="4"/>
    <s v="Electronics"/>
    <n v="4"/>
    <n v="20000"/>
    <n v="15000"/>
    <n v="80000"/>
    <n v="60000"/>
    <n v="20000"/>
    <n v="0.25"/>
  </r>
  <r>
    <s v="ORD133"/>
    <s v="15-10-2024"/>
    <x v="9"/>
    <x v="1"/>
    <x v="3"/>
    <s v="Electronics"/>
    <n v="1"/>
    <n v="15000"/>
    <n v="11000"/>
    <n v="15000"/>
    <n v="11000"/>
    <n v="4000"/>
    <n v="0.26666666666666666"/>
  </r>
  <r>
    <s v="ORD183"/>
    <s v="15-10-2024"/>
    <x v="9"/>
    <x v="1"/>
    <x v="2"/>
    <s v="Electronics"/>
    <n v="5"/>
    <n v="30000"/>
    <n v="24000"/>
    <n v="150000"/>
    <n v="120000"/>
    <n v="30000"/>
    <n v="0.2"/>
  </r>
  <r>
    <s v="ORD113"/>
    <s v="17-10-2024"/>
    <x v="9"/>
    <x v="2"/>
    <x v="3"/>
    <s v="Electronics"/>
    <n v="5"/>
    <n v="15000"/>
    <n v="11000"/>
    <n v="75000"/>
    <n v="55000"/>
    <n v="20000"/>
    <n v="0.26666666666666666"/>
  </r>
  <r>
    <s v="ORD260"/>
    <s v="17-10-2024"/>
    <x v="9"/>
    <x v="2"/>
    <x v="0"/>
    <s v="Electronics"/>
    <n v="1"/>
    <n v="50000"/>
    <n v="40000"/>
    <n v="50000"/>
    <n v="40000"/>
    <n v="10000"/>
    <n v="0.2"/>
  </r>
  <r>
    <s v="ORD345"/>
    <s v="17-10-2024"/>
    <x v="9"/>
    <x v="1"/>
    <x v="1"/>
    <s v="Accessories"/>
    <n v="3"/>
    <n v="2000"/>
    <n v="1200"/>
    <n v="6000"/>
    <n v="3600"/>
    <n v="2400"/>
    <n v="0.4"/>
  </r>
  <r>
    <s v="ORD104"/>
    <s v="20-10-2024"/>
    <x v="9"/>
    <x v="3"/>
    <x v="4"/>
    <s v="Electronics"/>
    <n v="4"/>
    <n v="20000"/>
    <n v="15000"/>
    <n v="80000"/>
    <n v="60000"/>
    <n v="20000"/>
    <n v="0.25"/>
  </r>
  <r>
    <s v="ORD004"/>
    <s v="21-10-2024"/>
    <x v="9"/>
    <x v="3"/>
    <x v="1"/>
    <s v="Accessories"/>
    <n v="1"/>
    <n v="2000"/>
    <n v="1200"/>
    <n v="2000"/>
    <n v="1200"/>
    <n v="800"/>
    <n v="0.4"/>
  </r>
  <r>
    <s v="ORD212"/>
    <s v="21-10-2024"/>
    <x v="9"/>
    <x v="1"/>
    <x v="4"/>
    <s v="Electronics"/>
    <n v="6"/>
    <n v="20000"/>
    <n v="15000"/>
    <n v="120000"/>
    <n v="90000"/>
    <n v="30000"/>
    <n v="0.25"/>
  </r>
  <r>
    <s v="ORD198"/>
    <s v="22-10-2024"/>
    <x v="9"/>
    <x v="0"/>
    <x v="1"/>
    <s v="Accessories"/>
    <n v="9"/>
    <n v="2000"/>
    <n v="1200"/>
    <n v="18000"/>
    <n v="10800"/>
    <n v="7200"/>
    <n v="0.4"/>
  </r>
  <r>
    <s v="ORD030"/>
    <s v="23-10-2024"/>
    <x v="9"/>
    <x v="1"/>
    <x v="1"/>
    <s v="Accessories"/>
    <n v="4"/>
    <n v="2000"/>
    <n v="1200"/>
    <n v="8000"/>
    <n v="4800"/>
    <n v="3200"/>
    <n v="0.4"/>
  </r>
  <r>
    <s v="ORD286"/>
    <s v="23-10-2024"/>
    <x v="9"/>
    <x v="1"/>
    <x v="3"/>
    <s v="Electronics"/>
    <n v="10"/>
    <n v="15000"/>
    <n v="11000"/>
    <n v="150000"/>
    <n v="110000"/>
    <n v="40000"/>
    <n v="0.26666666666666666"/>
  </r>
  <r>
    <s v="ORD069"/>
    <s v="25-10-2024"/>
    <x v="9"/>
    <x v="0"/>
    <x v="1"/>
    <s v="Accessories"/>
    <n v="2"/>
    <n v="2000"/>
    <n v="1200"/>
    <n v="4000"/>
    <n v="2400"/>
    <n v="1600"/>
    <n v="0.4"/>
  </r>
  <r>
    <s v="ORD006"/>
    <s v="27-10-2024"/>
    <x v="9"/>
    <x v="2"/>
    <x v="3"/>
    <s v="Electronics"/>
    <n v="7"/>
    <n v="15000"/>
    <n v="11000"/>
    <n v="105000"/>
    <n v="77000"/>
    <n v="28000"/>
    <n v="0.26666666666666666"/>
  </r>
  <r>
    <s v="ORD181"/>
    <s v="27-10-2024"/>
    <x v="9"/>
    <x v="0"/>
    <x v="2"/>
    <s v="Electronics"/>
    <n v="8"/>
    <n v="30000"/>
    <n v="24000"/>
    <n v="240000"/>
    <n v="192000"/>
    <n v="48000"/>
    <n v="0.2"/>
  </r>
  <r>
    <s v="ORD073"/>
    <s v="28-10-2024"/>
    <x v="9"/>
    <x v="0"/>
    <x v="3"/>
    <s v="Electronics"/>
    <n v="4"/>
    <n v="15000"/>
    <n v="11000"/>
    <n v="60000"/>
    <n v="44000"/>
    <n v="16000"/>
    <n v="0.26666666666666666"/>
  </r>
  <r>
    <s v="ORD092"/>
    <s v="28-10-2024"/>
    <x v="9"/>
    <x v="0"/>
    <x v="3"/>
    <s v="Electronics"/>
    <n v="6"/>
    <n v="15000"/>
    <n v="11000"/>
    <n v="90000"/>
    <n v="66000"/>
    <n v="24000"/>
    <n v="0.26666666666666666"/>
  </r>
  <r>
    <s v="ORD027"/>
    <s v="30-10-2024"/>
    <x v="9"/>
    <x v="1"/>
    <x v="1"/>
    <s v="Accessories"/>
    <n v="3"/>
    <n v="2000"/>
    <n v="1200"/>
    <n v="6000"/>
    <n v="3600"/>
    <n v="2400"/>
    <n v="0.4"/>
  </r>
  <r>
    <s v="ORD310"/>
    <s v="31-10-2024"/>
    <x v="9"/>
    <x v="2"/>
    <x v="0"/>
    <s v="Electronics"/>
    <n v="2"/>
    <n v="50000"/>
    <n v="40000"/>
    <n v="100000"/>
    <n v="80000"/>
    <n v="20000"/>
    <n v="0.2"/>
  </r>
  <r>
    <s v="ORD188"/>
    <s v="01-11-2024"/>
    <x v="10"/>
    <x v="2"/>
    <x v="2"/>
    <s v="Electronics"/>
    <n v="6"/>
    <n v="30000"/>
    <n v="24000"/>
    <n v="180000"/>
    <n v="144000"/>
    <n v="36000"/>
    <n v="0.2"/>
  </r>
  <r>
    <s v="ORD046"/>
    <s v="02-11-2024"/>
    <x v="10"/>
    <x v="3"/>
    <x v="1"/>
    <s v="Accessories"/>
    <n v="5"/>
    <n v="2000"/>
    <n v="1200"/>
    <n v="10000"/>
    <n v="6000"/>
    <n v="4000"/>
    <n v="0.4"/>
  </r>
  <r>
    <s v="ORD163"/>
    <s v="02-11-2024"/>
    <x v="10"/>
    <x v="3"/>
    <x v="2"/>
    <s v="Electronics"/>
    <n v="2"/>
    <n v="30000"/>
    <n v="24000"/>
    <n v="60000"/>
    <n v="48000"/>
    <n v="12000"/>
    <n v="0.2"/>
  </r>
  <r>
    <s v="ORD287"/>
    <s v="02-11-2024"/>
    <x v="10"/>
    <x v="3"/>
    <x v="3"/>
    <s v="Electronics"/>
    <n v="5"/>
    <n v="15000"/>
    <n v="11000"/>
    <n v="75000"/>
    <n v="55000"/>
    <n v="20000"/>
    <n v="0.26666666666666666"/>
  </r>
  <r>
    <s v="ORD252"/>
    <s v="04-11-2024"/>
    <x v="10"/>
    <x v="1"/>
    <x v="4"/>
    <s v="Electronics"/>
    <n v="5"/>
    <n v="20000"/>
    <n v="15000"/>
    <n v="100000"/>
    <n v="75000"/>
    <n v="25000"/>
    <n v="0.25"/>
  </r>
  <r>
    <s v="ORD331"/>
    <s v="04-11-2024"/>
    <x v="10"/>
    <x v="3"/>
    <x v="1"/>
    <s v="Accessories"/>
    <n v="2"/>
    <n v="2000"/>
    <n v="1200"/>
    <n v="4000"/>
    <n v="2400"/>
    <n v="1600"/>
    <n v="0.4"/>
  </r>
  <r>
    <s v="ORD108"/>
    <s v="05-11-2024"/>
    <x v="10"/>
    <x v="3"/>
    <x v="2"/>
    <s v="Electronics"/>
    <n v="1"/>
    <n v="30000"/>
    <n v="24000"/>
    <n v="30000"/>
    <n v="24000"/>
    <n v="6000"/>
    <n v="0.2"/>
  </r>
  <r>
    <s v="ORD005"/>
    <s v="08-11-2024"/>
    <x v="10"/>
    <x v="0"/>
    <x v="3"/>
    <s v="Electronics"/>
    <n v="5"/>
    <n v="15000"/>
    <n v="11000"/>
    <n v="75000"/>
    <n v="55000"/>
    <n v="20000"/>
    <n v="0.26666666666666666"/>
  </r>
  <r>
    <s v="ORD086"/>
    <s v="08-11-2024"/>
    <x v="10"/>
    <x v="2"/>
    <x v="3"/>
    <s v="Electronics"/>
    <n v="7"/>
    <n v="15000"/>
    <n v="11000"/>
    <n v="105000"/>
    <n v="77000"/>
    <n v="28000"/>
    <n v="0.26666666666666666"/>
  </r>
  <r>
    <s v="ORD359"/>
    <s v="08-11-2024"/>
    <x v="10"/>
    <x v="2"/>
    <x v="2"/>
    <s v="Electronics"/>
    <n v="1"/>
    <n v="30000"/>
    <n v="24000"/>
    <n v="30000"/>
    <n v="24000"/>
    <n v="6000"/>
    <n v="0.2"/>
  </r>
  <r>
    <s v="ORD135"/>
    <s v="09-11-2024"/>
    <x v="10"/>
    <x v="2"/>
    <x v="2"/>
    <s v="Electronics"/>
    <n v="10"/>
    <n v="30000"/>
    <n v="24000"/>
    <n v="300000"/>
    <n v="240000"/>
    <n v="60000"/>
    <n v="0.2"/>
  </r>
  <r>
    <s v="ORD001"/>
    <s v="10-11-2024"/>
    <x v="10"/>
    <x v="0"/>
    <x v="3"/>
    <s v="Electronics"/>
    <n v="2"/>
    <n v="15000"/>
    <n v="11000"/>
    <n v="30000"/>
    <n v="22000"/>
    <n v="8000"/>
    <n v="0.26666666666666666"/>
  </r>
  <r>
    <s v="ORD162"/>
    <s v="11-11-2024"/>
    <x v="10"/>
    <x v="1"/>
    <x v="4"/>
    <s v="Electronics"/>
    <n v="8"/>
    <n v="20000"/>
    <n v="15000"/>
    <n v="160000"/>
    <n v="120000"/>
    <n v="40000"/>
    <n v="0.25"/>
  </r>
  <r>
    <s v="ORD132"/>
    <s v="17-11-2024"/>
    <x v="10"/>
    <x v="0"/>
    <x v="3"/>
    <s v="Electronics"/>
    <n v="7"/>
    <n v="15000"/>
    <n v="11000"/>
    <n v="105000"/>
    <n v="77000"/>
    <n v="28000"/>
    <n v="0.26666666666666666"/>
  </r>
  <r>
    <s v="ORD173"/>
    <s v="18-11-2024"/>
    <x v="10"/>
    <x v="2"/>
    <x v="2"/>
    <s v="Electronics"/>
    <n v="10"/>
    <n v="30000"/>
    <n v="24000"/>
    <n v="300000"/>
    <n v="240000"/>
    <n v="60000"/>
    <n v="0.2"/>
  </r>
  <r>
    <s v="ORD322"/>
    <s v="18-11-2024"/>
    <x v="10"/>
    <x v="2"/>
    <x v="2"/>
    <s v="Electronics"/>
    <n v="10"/>
    <n v="30000"/>
    <n v="24000"/>
    <n v="300000"/>
    <n v="240000"/>
    <n v="60000"/>
    <n v="0.2"/>
  </r>
  <r>
    <s v="ORD192"/>
    <s v="20-11-2024"/>
    <x v="10"/>
    <x v="0"/>
    <x v="4"/>
    <s v="Electronics"/>
    <n v="3"/>
    <n v="20000"/>
    <n v="15000"/>
    <n v="60000"/>
    <n v="45000"/>
    <n v="15000"/>
    <n v="0.25"/>
  </r>
  <r>
    <s v="ORD306"/>
    <s v="20-11-2024"/>
    <x v="10"/>
    <x v="0"/>
    <x v="4"/>
    <s v="Electronics"/>
    <n v="5"/>
    <n v="20000"/>
    <n v="15000"/>
    <n v="100000"/>
    <n v="75000"/>
    <n v="25000"/>
    <n v="0.25"/>
  </r>
  <r>
    <s v="ORD325"/>
    <s v="20-11-2024"/>
    <x v="10"/>
    <x v="3"/>
    <x v="0"/>
    <s v="Electronics"/>
    <n v="8"/>
    <n v="50000"/>
    <n v="40000"/>
    <n v="400000"/>
    <n v="320000"/>
    <n v="80000"/>
    <n v="0.2"/>
  </r>
  <r>
    <s v="ORD309"/>
    <s v="21-11-2024"/>
    <x v="10"/>
    <x v="2"/>
    <x v="3"/>
    <s v="Electronics"/>
    <n v="7"/>
    <n v="15000"/>
    <n v="11000"/>
    <n v="105000"/>
    <n v="77000"/>
    <n v="28000"/>
    <n v="0.26666666666666666"/>
  </r>
  <r>
    <s v="ORD381"/>
    <s v="21-11-2024"/>
    <x v="10"/>
    <x v="1"/>
    <x v="0"/>
    <s v="Electronics"/>
    <n v="3"/>
    <n v="50000"/>
    <n v="40000"/>
    <n v="150000"/>
    <n v="120000"/>
    <n v="30000"/>
    <n v="0.2"/>
  </r>
  <r>
    <s v="ORD313"/>
    <s v="22-11-2024"/>
    <x v="10"/>
    <x v="1"/>
    <x v="1"/>
    <s v="Accessories"/>
    <n v="9"/>
    <n v="2000"/>
    <n v="1200"/>
    <n v="18000"/>
    <n v="10800"/>
    <n v="7200"/>
    <n v="0.4"/>
  </r>
  <r>
    <s v="ORD298"/>
    <s v="23-11-2024"/>
    <x v="10"/>
    <x v="2"/>
    <x v="4"/>
    <s v="Electronics"/>
    <n v="1"/>
    <n v="20000"/>
    <n v="15000"/>
    <n v="20000"/>
    <n v="15000"/>
    <n v="5000"/>
    <n v="0.25"/>
  </r>
  <r>
    <s v="ORD219"/>
    <s v="25-11-2024"/>
    <x v="10"/>
    <x v="0"/>
    <x v="1"/>
    <s v="Accessories"/>
    <n v="10"/>
    <n v="2000"/>
    <n v="1200"/>
    <n v="20000"/>
    <n v="12000"/>
    <n v="8000"/>
    <n v="0.4"/>
  </r>
  <r>
    <s v="ORD358"/>
    <s v="25-11-2024"/>
    <x v="10"/>
    <x v="3"/>
    <x v="4"/>
    <s v="Electronics"/>
    <n v="8"/>
    <n v="20000"/>
    <n v="15000"/>
    <n v="160000"/>
    <n v="120000"/>
    <n v="40000"/>
    <n v="0.25"/>
  </r>
  <r>
    <s v="ORD124"/>
    <s v="26-11-2024"/>
    <x v="10"/>
    <x v="0"/>
    <x v="3"/>
    <s v="Electronics"/>
    <n v="9"/>
    <n v="15000"/>
    <n v="11000"/>
    <n v="135000"/>
    <n v="99000"/>
    <n v="36000"/>
    <n v="0.26666666666666666"/>
  </r>
  <r>
    <s v="ORD243"/>
    <s v="27-11-2024"/>
    <x v="10"/>
    <x v="1"/>
    <x v="1"/>
    <s v="Accessories"/>
    <n v="4"/>
    <n v="2000"/>
    <n v="1200"/>
    <n v="8000"/>
    <n v="4800"/>
    <n v="3200"/>
    <n v="0.4"/>
  </r>
  <r>
    <s v="ORD332"/>
    <s v="27-11-2024"/>
    <x v="10"/>
    <x v="2"/>
    <x v="0"/>
    <s v="Electronics"/>
    <n v="6"/>
    <n v="50000"/>
    <n v="40000"/>
    <n v="300000"/>
    <n v="240000"/>
    <n v="60000"/>
    <n v="0.2"/>
  </r>
  <r>
    <s v="ORD063"/>
    <s v="28-11-2024"/>
    <x v="10"/>
    <x v="3"/>
    <x v="4"/>
    <s v="Electronics"/>
    <n v="2"/>
    <n v="20000"/>
    <n v="15000"/>
    <n v="40000"/>
    <n v="30000"/>
    <n v="10000"/>
    <n v="0.25"/>
  </r>
  <r>
    <s v="ORD130"/>
    <s v="28-11-2024"/>
    <x v="10"/>
    <x v="0"/>
    <x v="2"/>
    <s v="Electronics"/>
    <n v="3"/>
    <n v="30000"/>
    <n v="24000"/>
    <n v="90000"/>
    <n v="72000"/>
    <n v="18000"/>
    <n v="0.2"/>
  </r>
  <r>
    <s v="ORD197"/>
    <s v="28-11-2024"/>
    <x v="10"/>
    <x v="3"/>
    <x v="2"/>
    <s v="Electronics"/>
    <n v="1"/>
    <n v="30000"/>
    <n v="24000"/>
    <n v="30000"/>
    <n v="24000"/>
    <n v="6000"/>
    <n v="0.2"/>
  </r>
  <r>
    <s v="ORD354"/>
    <s v="28-11-2024"/>
    <x v="10"/>
    <x v="0"/>
    <x v="0"/>
    <s v="Electronics"/>
    <n v="6"/>
    <n v="50000"/>
    <n v="40000"/>
    <n v="300000"/>
    <n v="240000"/>
    <n v="60000"/>
    <n v="0.2"/>
  </r>
  <r>
    <s v="ORD372"/>
    <s v="29-11-2024"/>
    <x v="10"/>
    <x v="2"/>
    <x v="4"/>
    <s v="Electronics"/>
    <n v="3"/>
    <n v="20000"/>
    <n v="15000"/>
    <n v="60000"/>
    <n v="45000"/>
    <n v="15000"/>
    <n v="0.25"/>
  </r>
  <r>
    <s v="ORD110"/>
    <s v="03-12-2024"/>
    <x v="11"/>
    <x v="1"/>
    <x v="3"/>
    <s v="Electronics"/>
    <n v="4"/>
    <n v="15000"/>
    <n v="11000"/>
    <n v="60000"/>
    <n v="44000"/>
    <n v="16000"/>
    <n v="0.26666666666666666"/>
  </r>
  <r>
    <s v="ORD141"/>
    <s v="03-12-2024"/>
    <x v="11"/>
    <x v="1"/>
    <x v="4"/>
    <s v="Electronics"/>
    <n v="7"/>
    <n v="20000"/>
    <n v="15000"/>
    <n v="140000"/>
    <n v="105000"/>
    <n v="35000"/>
    <n v="0.25"/>
  </r>
  <r>
    <s v="ORD126"/>
    <s v="04-12-2024"/>
    <x v="11"/>
    <x v="1"/>
    <x v="2"/>
    <s v="Electronics"/>
    <n v="5"/>
    <n v="30000"/>
    <n v="24000"/>
    <n v="150000"/>
    <n v="120000"/>
    <n v="30000"/>
    <n v="0.2"/>
  </r>
  <r>
    <s v="ORD152"/>
    <s v="04-12-2024"/>
    <x v="11"/>
    <x v="1"/>
    <x v="3"/>
    <s v="Electronics"/>
    <n v="10"/>
    <n v="15000"/>
    <n v="11000"/>
    <n v="150000"/>
    <n v="110000"/>
    <n v="40000"/>
    <n v="0.26666666666666666"/>
  </r>
  <r>
    <s v="ORD169"/>
    <s v="04-12-2024"/>
    <x v="11"/>
    <x v="2"/>
    <x v="0"/>
    <s v="Electronics"/>
    <n v="6"/>
    <n v="50000"/>
    <n v="40000"/>
    <n v="300000"/>
    <n v="240000"/>
    <n v="60000"/>
    <n v="0.2"/>
  </r>
  <r>
    <s v="ORD047"/>
    <s v="06-12-2024"/>
    <x v="11"/>
    <x v="1"/>
    <x v="2"/>
    <s v="Electronics"/>
    <n v="10"/>
    <n v="30000"/>
    <n v="24000"/>
    <n v="300000"/>
    <n v="240000"/>
    <n v="60000"/>
    <n v="0.2"/>
  </r>
  <r>
    <s v="ORD209"/>
    <s v="06-12-2024"/>
    <x v="11"/>
    <x v="2"/>
    <x v="2"/>
    <s v="Electronics"/>
    <n v="6"/>
    <n v="30000"/>
    <n v="24000"/>
    <n v="180000"/>
    <n v="144000"/>
    <n v="36000"/>
    <n v="0.2"/>
  </r>
  <r>
    <s v="ORD316"/>
    <s v="06-12-2024"/>
    <x v="11"/>
    <x v="2"/>
    <x v="1"/>
    <s v="Accessories"/>
    <n v="1"/>
    <n v="2000"/>
    <n v="1200"/>
    <n v="2000"/>
    <n v="1200"/>
    <n v="800"/>
    <n v="0.4"/>
  </r>
  <r>
    <s v="ORD122"/>
    <s v="08-12-2024"/>
    <x v="11"/>
    <x v="2"/>
    <x v="4"/>
    <s v="Electronics"/>
    <n v="7"/>
    <n v="20000"/>
    <n v="15000"/>
    <n v="140000"/>
    <n v="105000"/>
    <n v="35000"/>
    <n v="0.25"/>
  </r>
  <r>
    <s v="ORD308"/>
    <s v="11-12-2024"/>
    <x v="11"/>
    <x v="2"/>
    <x v="0"/>
    <s v="Electronics"/>
    <n v="3"/>
    <n v="50000"/>
    <n v="40000"/>
    <n v="150000"/>
    <n v="120000"/>
    <n v="30000"/>
    <n v="0.2"/>
  </r>
  <r>
    <s v="ORD109"/>
    <s v="12-12-2024"/>
    <x v="11"/>
    <x v="1"/>
    <x v="4"/>
    <s v="Electronics"/>
    <n v="1"/>
    <n v="20000"/>
    <n v="15000"/>
    <n v="20000"/>
    <n v="15000"/>
    <n v="5000"/>
    <n v="0.25"/>
  </r>
  <r>
    <s v="ORD177"/>
    <s v="13-12-2024"/>
    <x v="11"/>
    <x v="3"/>
    <x v="2"/>
    <s v="Electronics"/>
    <n v="1"/>
    <n v="30000"/>
    <n v="24000"/>
    <n v="30000"/>
    <n v="24000"/>
    <n v="6000"/>
    <n v="0.2"/>
  </r>
  <r>
    <s v="ORD055"/>
    <s v="14-12-2024"/>
    <x v="11"/>
    <x v="2"/>
    <x v="3"/>
    <s v="Electronics"/>
    <n v="2"/>
    <n v="15000"/>
    <n v="11000"/>
    <n v="30000"/>
    <n v="22000"/>
    <n v="8000"/>
    <n v="0.26666666666666666"/>
  </r>
  <r>
    <s v="ORD175"/>
    <s v="14-12-2024"/>
    <x v="11"/>
    <x v="1"/>
    <x v="2"/>
    <s v="Electronics"/>
    <n v="10"/>
    <n v="30000"/>
    <n v="24000"/>
    <n v="300000"/>
    <n v="240000"/>
    <n v="60000"/>
    <n v="0.2"/>
  </r>
  <r>
    <s v="ORD301"/>
    <s v="16-12-2024"/>
    <x v="11"/>
    <x v="2"/>
    <x v="2"/>
    <s v="Electronics"/>
    <n v="2"/>
    <n v="30000"/>
    <n v="24000"/>
    <n v="60000"/>
    <n v="48000"/>
    <n v="12000"/>
    <n v="0.2"/>
  </r>
  <r>
    <s v="ORD314"/>
    <s v="16-12-2024"/>
    <x v="11"/>
    <x v="2"/>
    <x v="2"/>
    <s v="Electronics"/>
    <n v="2"/>
    <n v="30000"/>
    <n v="24000"/>
    <n v="60000"/>
    <n v="48000"/>
    <n v="12000"/>
    <n v="0.2"/>
  </r>
  <r>
    <s v="ORD320"/>
    <s v="19-12-2024"/>
    <x v="11"/>
    <x v="0"/>
    <x v="0"/>
    <s v="Electronics"/>
    <n v="9"/>
    <n v="50000"/>
    <n v="40000"/>
    <n v="450000"/>
    <n v="360000"/>
    <n v="90000"/>
    <n v="0.2"/>
  </r>
  <r>
    <s v="ORD360"/>
    <s v="19-12-2024"/>
    <x v="11"/>
    <x v="1"/>
    <x v="0"/>
    <s v="Electronics"/>
    <n v="7"/>
    <n v="50000"/>
    <n v="40000"/>
    <n v="350000"/>
    <n v="280000"/>
    <n v="70000"/>
    <n v="0.2"/>
  </r>
  <r>
    <s v="ORD303"/>
    <s v="20-12-2024"/>
    <x v="11"/>
    <x v="3"/>
    <x v="3"/>
    <s v="Electronics"/>
    <n v="4"/>
    <n v="15000"/>
    <n v="11000"/>
    <n v="60000"/>
    <n v="44000"/>
    <n v="16000"/>
    <n v="0.26666666666666666"/>
  </r>
  <r>
    <s v="ORD391"/>
    <s v="21-12-2024"/>
    <x v="11"/>
    <x v="3"/>
    <x v="3"/>
    <s v="Electronics"/>
    <n v="2"/>
    <n v="15000"/>
    <n v="11000"/>
    <n v="30000"/>
    <n v="22000"/>
    <n v="8000"/>
    <n v="0.26666666666666666"/>
  </r>
  <r>
    <s v="ORD352"/>
    <s v="22-12-2024"/>
    <x v="11"/>
    <x v="0"/>
    <x v="2"/>
    <s v="Electronics"/>
    <n v="3"/>
    <n v="30000"/>
    <n v="24000"/>
    <n v="90000"/>
    <n v="72000"/>
    <n v="18000"/>
    <n v="0.2"/>
  </r>
  <r>
    <s v="ORD045"/>
    <s v="23-12-2024"/>
    <x v="11"/>
    <x v="0"/>
    <x v="4"/>
    <s v="Electronics"/>
    <n v="8"/>
    <n v="20000"/>
    <n v="15000"/>
    <n v="160000"/>
    <n v="120000"/>
    <n v="40000"/>
    <n v="0.25"/>
  </r>
  <r>
    <s v="ORD094"/>
    <s v="23-12-2024"/>
    <x v="11"/>
    <x v="1"/>
    <x v="3"/>
    <s v="Electronics"/>
    <n v="9"/>
    <n v="15000"/>
    <n v="11000"/>
    <n v="135000"/>
    <n v="99000"/>
    <n v="36000"/>
    <n v="0.26666666666666666"/>
  </r>
  <r>
    <s v="ORD059"/>
    <s v="24-12-2024"/>
    <x v="11"/>
    <x v="3"/>
    <x v="2"/>
    <s v="Electronics"/>
    <n v="9"/>
    <n v="30000"/>
    <n v="24000"/>
    <n v="270000"/>
    <n v="216000"/>
    <n v="54000"/>
    <n v="0.2"/>
  </r>
  <r>
    <s v="ORD144"/>
    <s v="24-12-2024"/>
    <x v="11"/>
    <x v="0"/>
    <x v="0"/>
    <s v="Electronics"/>
    <n v="8"/>
    <n v="50000"/>
    <n v="40000"/>
    <n v="400000"/>
    <n v="320000"/>
    <n v="80000"/>
    <n v="0.2"/>
  </r>
  <r>
    <s v="ORD234"/>
    <s v="24-12-2024"/>
    <x v="11"/>
    <x v="0"/>
    <x v="0"/>
    <s v="Electronics"/>
    <n v="2"/>
    <n v="50000"/>
    <n v="40000"/>
    <n v="100000"/>
    <n v="80000"/>
    <n v="20000"/>
    <n v="0.2"/>
  </r>
  <r>
    <s v="ORD056"/>
    <s v="26-12-2024"/>
    <x v="11"/>
    <x v="2"/>
    <x v="2"/>
    <s v="Electronics"/>
    <n v="4"/>
    <n v="30000"/>
    <n v="24000"/>
    <n v="120000"/>
    <n v="96000"/>
    <n v="24000"/>
    <n v="0.2"/>
  </r>
  <r>
    <s v="ORD071"/>
    <s v="27-12-2024"/>
    <x v="11"/>
    <x v="0"/>
    <x v="4"/>
    <s v="Electronics"/>
    <n v="6"/>
    <n v="20000"/>
    <n v="15000"/>
    <n v="120000"/>
    <n v="90000"/>
    <n v="30000"/>
    <n v="0.25"/>
  </r>
  <r>
    <s v="ORD100"/>
    <s v="27-12-2024"/>
    <x v="11"/>
    <x v="2"/>
    <x v="1"/>
    <s v="Accessories"/>
    <n v="9"/>
    <n v="2000"/>
    <n v="1200"/>
    <n v="18000"/>
    <n v="10800"/>
    <n v="7200"/>
    <n v="0.4"/>
  </r>
  <r>
    <s v="ORD125"/>
    <s v="28-12-2024"/>
    <x v="11"/>
    <x v="2"/>
    <x v="3"/>
    <s v="Electronics"/>
    <n v="5"/>
    <n v="15000"/>
    <n v="11000"/>
    <n v="75000"/>
    <n v="55000"/>
    <n v="20000"/>
    <n v="0.26666666666666666"/>
  </r>
  <r>
    <s v="ORD066"/>
    <s v="29-12-2024"/>
    <x v="11"/>
    <x v="1"/>
    <x v="0"/>
    <s v="Electronics"/>
    <n v="4"/>
    <n v="50000"/>
    <n v="40000"/>
    <n v="200000"/>
    <n v="160000"/>
    <n v="40000"/>
    <n v="0.2"/>
  </r>
  <r>
    <s v="ORD293"/>
    <s v="29-12-2024"/>
    <x v="11"/>
    <x v="0"/>
    <x v="1"/>
    <s v="Accessories"/>
    <n v="6"/>
    <n v="2000"/>
    <n v="1200"/>
    <n v="12000"/>
    <n v="7200"/>
    <n v="4800"/>
    <n v="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0D79A6-1F06-4C12-89BD-FBE023A202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2:B58" firstHeaderRow="1" firstDataRow="1" firstDataCol="1" rowPageCount="2" colPageCount="1"/>
  <pivotFields count="13">
    <pivotField showAll="0"/>
    <pivotField showAll="0"/>
    <pivotField axis="axisPage" multipleItemSelectionAllowed="1" showAll="0">
      <items count="13">
        <item x="0"/>
        <item x="1"/>
        <item x="2"/>
        <item x="3"/>
        <item x="4"/>
        <item x="5"/>
        <item x="6"/>
        <item x="7"/>
        <item x="8"/>
        <item x="9"/>
        <item x="10"/>
        <item x="11"/>
        <item t="default"/>
      </items>
    </pivotField>
    <pivotField axis="axisPage" multipleItemSelectionAllowed="1" showAll="0">
      <items count="5">
        <item x="0"/>
        <item x="2"/>
        <item x="1"/>
        <item x="3"/>
        <item t="default"/>
      </items>
    </pivotField>
    <pivotField axis="axisRow" showAll="0">
      <items count="6">
        <item x="1"/>
        <item x="0"/>
        <item x="3"/>
        <item x="4"/>
        <item x="2"/>
        <item t="default"/>
      </items>
    </pivotField>
    <pivotField showAll="0"/>
    <pivotField showAll="0"/>
    <pivotField numFmtId="164" showAll="0"/>
    <pivotField numFmtId="164" showAll="0"/>
    <pivotField numFmtId="164" showAll="0"/>
    <pivotField numFmtId="164" showAll="0"/>
    <pivotField numFmtId="164" showAll="0"/>
    <pivotField dataField="1" numFmtId="10" showAll="0"/>
  </pivotFields>
  <rowFields count="1">
    <field x="4"/>
  </rowFields>
  <rowItems count="6">
    <i>
      <x/>
    </i>
    <i>
      <x v="1"/>
    </i>
    <i>
      <x v="2"/>
    </i>
    <i>
      <x v="3"/>
    </i>
    <i>
      <x v="4"/>
    </i>
    <i t="grand">
      <x/>
    </i>
  </rowItems>
  <colItems count="1">
    <i/>
  </colItems>
  <pageFields count="2">
    <pageField fld="3" hier="-1"/>
    <pageField fld="2" hier="-1"/>
  </pageFields>
  <dataFields count="1">
    <dataField name="Average of Profit %" fld="12" subtotal="average" baseField="4" baseItem="1" numFmtId="10"/>
  </dataFields>
  <chartFormats count="2">
    <chartFormat chart="4"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6802AA-45C6-4F3B-B7A6-652061261F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3:B46" firstHeaderRow="1" firstDataRow="1" firstDataCol="1" rowPageCount="2" colPageCount="1"/>
  <pivotFields count="13">
    <pivotField showAll="0"/>
    <pivotField showAll="0"/>
    <pivotField axis="axisRow" showAll="0">
      <items count="13">
        <item x="0"/>
        <item x="1"/>
        <item x="2"/>
        <item x="3"/>
        <item x="4"/>
        <item x="5"/>
        <item x="6"/>
        <item x="7"/>
        <item x="8"/>
        <item x="9"/>
        <item x="10"/>
        <item x="11"/>
        <item t="default"/>
      </items>
    </pivotField>
    <pivotField axis="axisPage" showAll="0">
      <items count="5">
        <item x="0"/>
        <item x="2"/>
        <item x="1"/>
        <item x="3"/>
        <item t="default"/>
      </items>
    </pivotField>
    <pivotField axis="axisPage" showAll="0">
      <items count="6">
        <item x="1"/>
        <item x="0"/>
        <item x="3"/>
        <item x="4"/>
        <item x="2"/>
        <item t="default"/>
      </items>
    </pivotField>
    <pivotField showAll="0"/>
    <pivotField showAll="0"/>
    <pivotField numFmtId="164" showAll="0"/>
    <pivotField numFmtId="164" showAll="0"/>
    <pivotField dataField="1" numFmtId="164" showAll="0"/>
    <pivotField numFmtId="164" showAll="0"/>
    <pivotField numFmtId="164" showAll="0"/>
    <pivotField numFmtId="10" showAll="0"/>
  </pivotFields>
  <rowFields count="1">
    <field x="2"/>
  </rowFields>
  <rowItems count="13">
    <i>
      <x/>
    </i>
    <i>
      <x v="1"/>
    </i>
    <i>
      <x v="2"/>
    </i>
    <i>
      <x v="3"/>
    </i>
    <i>
      <x v="4"/>
    </i>
    <i>
      <x v="5"/>
    </i>
    <i>
      <x v="6"/>
    </i>
    <i>
      <x v="7"/>
    </i>
    <i>
      <x v="8"/>
    </i>
    <i>
      <x v="9"/>
    </i>
    <i>
      <x v="10"/>
    </i>
    <i>
      <x v="11"/>
    </i>
    <i t="grand">
      <x/>
    </i>
  </rowItems>
  <colItems count="1">
    <i/>
  </colItems>
  <pageFields count="2">
    <pageField fld="3" hier="-1"/>
    <pageField fld="4" hier="-1"/>
  </pageFields>
  <dataFields count="1">
    <dataField name="Sum of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9B81B-64AB-454F-A0A6-85DD7386F9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B24" firstHeaderRow="1" firstDataRow="1" firstDataCol="1" rowPageCount="2" colPageCount="1"/>
  <pivotFields count="13">
    <pivotField showAll="0"/>
    <pivotField showAll="0"/>
    <pivotField axis="axisPage" showAll="0">
      <items count="13">
        <item x="0"/>
        <item x="1"/>
        <item x="2"/>
        <item x="3"/>
        <item x="4"/>
        <item x="5"/>
        <item x="6"/>
        <item x="7"/>
        <item x="8"/>
        <item x="9"/>
        <item x="10"/>
        <item x="11"/>
        <item t="default"/>
      </items>
    </pivotField>
    <pivotField axis="axisPage" showAll="0">
      <items count="5">
        <item x="0"/>
        <item x="2"/>
        <item x="1"/>
        <item x="3"/>
        <item t="default"/>
      </items>
    </pivotField>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dataField="1" numFmtId="164" showAll="0"/>
    <pivotField numFmtId="10" showAll="0"/>
  </pivotFields>
  <rowFields count="1">
    <field x="4"/>
  </rowFields>
  <rowItems count="6">
    <i>
      <x v="1"/>
    </i>
    <i>
      <x v="3"/>
    </i>
    <i>
      <x v="4"/>
    </i>
    <i>
      <x v="2"/>
    </i>
    <i>
      <x/>
    </i>
    <i t="grand">
      <x/>
    </i>
  </rowItems>
  <colItems count="1">
    <i/>
  </colItems>
  <pageFields count="2">
    <pageField fld="2" hier="-1"/>
    <pageField fld="3" hier="-1"/>
  </pageFields>
  <dataFields count="1">
    <dataField name="Total Profit" fld="11" baseField="0" baseItem="0" numFmtId="164"/>
  </dataFields>
  <chartFormats count="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DCBD1-4DAB-4968-A1D9-533933C432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9" firstHeaderRow="1" firstDataRow="1" firstDataCol="1" rowPageCount="2" colPageCount="1"/>
  <pivotFields count="13">
    <pivotField showAll="0"/>
    <pivotField showAll="0"/>
    <pivotField axis="axisPage" showAll="0">
      <items count="13">
        <item x="0"/>
        <item x="1"/>
        <item x="2"/>
        <item x="3"/>
        <item x="4"/>
        <item x="5"/>
        <item x="6"/>
        <item x="7"/>
        <item x="8"/>
        <item x="9"/>
        <item x="10"/>
        <item x="11"/>
        <item t="default"/>
      </items>
    </pivotField>
    <pivotField axis="axisRow" showAll="0">
      <items count="5">
        <item x="0"/>
        <item x="2"/>
        <item x="1"/>
        <item x="3"/>
        <item t="default"/>
      </items>
    </pivotField>
    <pivotField axis="axisPage" showAll="0">
      <items count="6">
        <item x="1"/>
        <item x="0"/>
        <item x="3"/>
        <item x="4"/>
        <item x="2"/>
        <item t="default"/>
      </items>
    </pivotField>
    <pivotField showAll="0"/>
    <pivotField showAll="0"/>
    <pivotField numFmtId="164" showAll="0"/>
    <pivotField numFmtId="164" showAll="0"/>
    <pivotField dataField="1" numFmtId="164" showAll="0"/>
    <pivotField numFmtId="164" showAll="0"/>
    <pivotField numFmtId="164" showAll="0"/>
    <pivotField numFmtId="10" showAll="0"/>
  </pivotFields>
  <rowFields count="1">
    <field x="3"/>
  </rowFields>
  <rowItems count="5">
    <i>
      <x/>
    </i>
    <i>
      <x v="1"/>
    </i>
    <i>
      <x v="2"/>
    </i>
    <i>
      <x v="3"/>
    </i>
    <i t="grand">
      <x/>
    </i>
  </rowItems>
  <colItems count="1">
    <i/>
  </colItems>
  <pageFields count="2">
    <pageField fld="4" hier="-1"/>
    <pageField fld="2" hier="-1"/>
  </pageFields>
  <dataFields count="1">
    <dataField name="Total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A89134A-1193-4280-AA7F-B8C48A2C7BFA}" sourceName="Product">
  <pivotTables>
    <pivotTable tabId="5" name="PivotTable1"/>
    <pivotTable tabId="5" name="PivotTable3"/>
    <pivotTable tabId="5" name="PivotTable4"/>
    <pivotTable tabId="5" name="PivotTable5"/>
  </pivotTables>
  <data>
    <tabular pivotCacheId="45627833">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ADE2D9-D28C-468A-AD58-9B3B57C1D066}" sourceName="Month">
  <pivotTables>
    <pivotTable tabId="5" name="PivotTable4"/>
    <pivotTable tabId="5" name="PivotTable1"/>
    <pivotTable tabId="5" name="PivotTable3"/>
    <pivotTable tabId="5" name="PivotTable5"/>
  </pivotTables>
  <data>
    <tabular pivotCacheId="4562783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56B370-4E86-4F8A-BA54-B45C2E0B8A0F}" sourceName="Region">
  <pivotTables>
    <pivotTable tabId="5" name="PivotTable4"/>
    <pivotTable tabId="5" name="PivotTable1"/>
    <pivotTable tabId="5" name="PivotTable3"/>
    <pivotTable tabId="5" name="PivotTable5"/>
  </pivotTables>
  <data>
    <tabular pivotCacheId="45627833">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7B030796-989D-4563-8F14-DF7D6F1BFC49}" cache="Slicer_Product" caption="Product" rowHeight="234950"/>
  <slicer name="Month 2" xr10:uid="{057E0DE6-B13F-4EF7-AA0B-8CFB91865556}" cache="Slicer_Month" caption="Month" rowHeight="234950"/>
  <slicer name="Region 2" xr10:uid="{5E2DDF49-5C3F-49BD-B570-819CD7EECE9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F9B8B0-5D0E-4818-9A08-0DA8C90604A4}" name="Table2" displayName="Table2" ref="A1:M401" totalsRowShown="0" headerRowDxfId="6">
  <autoFilter ref="A1:M401" xr:uid="{71F9B8B0-5D0E-4818-9A08-0DA8C90604A4}"/>
  <tableColumns count="13">
    <tableColumn id="1" xr3:uid="{EA9DD018-4D43-483E-8E7D-945AB1C598B2}" name="Order_ID"/>
    <tableColumn id="2" xr3:uid="{B05B5660-57D6-4FD6-B25A-C891F1EC137B}" name="Date"/>
    <tableColumn id="3" xr3:uid="{5F2E5244-FBD0-41D7-8750-00E7EB0973F5}" name="Month"/>
    <tableColumn id="4" xr3:uid="{049A261C-15CF-4B3A-900A-0D1180367341}" name="Region"/>
    <tableColumn id="5" xr3:uid="{B1A57860-3F9A-4CA6-8E3F-EF624E4DCAE0}" name="Product"/>
    <tableColumn id="6" xr3:uid="{255FBFB3-CC6F-4773-B1E3-37486D3DB57C}" name="Category"/>
    <tableColumn id="7" xr3:uid="{5BEF9E35-5B18-4609-BA2E-7947FCF455B9}" name="Quantity"/>
    <tableColumn id="8" xr3:uid="{C42FA006-E376-4250-A0CE-8F6AD2ECC937}" name="Selling_Price" dataDxfId="5"/>
    <tableColumn id="9" xr3:uid="{2537996F-77E0-4A1F-B33A-123DE9EBC0FC}" name="Cost_Price" dataDxfId="4"/>
    <tableColumn id="10" xr3:uid="{DB2E9D10-63F8-48EF-B94A-42DC9753580E}" name="Revenue" dataDxfId="3"/>
    <tableColumn id="11" xr3:uid="{78784670-A0FD-427B-9D98-F794031FCB45}" name="Cost" dataDxfId="2"/>
    <tableColumn id="12" xr3:uid="{F71076C8-47C8-47CD-A60C-51A4936F0360}" name="Profit" dataDxfId="1"/>
    <tableColumn id="13" xr3:uid="{1428689A-B344-4176-9C62-B4EBC8C6F8D6}" name="Profit %" dataDxfId="0">
      <calculatedColumnFormula>L2/J2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1"/>
  <sheetViews>
    <sheetView topLeftCell="A383" workbookViewId="0">
      <selection activeCell="E401" sqref="E401"/>
    </sheetView>
  </sheetViews>
  <sheetFormatPr defaultRowHeight="14.4" x14ac:dyDescent="0.3"/>
  <cols>
    <col min="2" max="2" width="10.33203125" bestFit="1" customWidth="1"/>
    <col min="5" max="5" width="11.109375" bestFit="1" customWidth="1"/>
    <col min="6" max="6" width="10.44140625" bestFit="1" customWidth="1"/>
    <col min="8" max="8" width="11.109375" bestFit="1" customWidth="1"/>
    <col min="9" max="9" width="9.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v>2</v>
      </c>
      <c r="H2">
        <v>15000</v>
      </c>
      <c r="I2">
        <v>11000</v>
      </c>
      <c r="J2">
        <v>30000</v>
      </c>
      <c r="K2">
        <v>22000</v>
      </c>
      <c r="L2">
        <v>8000</v>
      </c>
    </row>
    <row r="3" spans="1:12" x14ac:dyDescent="0.3">
      <c r="A3" t="s">
        <v>18</v>
      </c>
      <c r="B3" t="s">
        <v>19</v>
      </c>
      <c r="C3" t="s">
        <v>20</v>
      </c>
      <c r="D3" t="s">
        <v>15</v>
      </c>
      <c r="E3" t="s">
        <v>21</v>
      </c>
      <c r="F3" t="s">
        <v>22</v>
      </c>
      <c r="G3">
        <v>10</v>
      </c>
      <c r="H3">
        <v>2000</v>
      </c>
      <c r="I3">
        <v>1200</v>
      </c>
      <c r="J3">
        <v>20000</v>
      </c>
      <c r="K3">
        <v>12000</v>
      </c>
      <c r="L3">
        <v>8000</v>
      </c>
    </row>
    <row r="4" spans="1:12" x14ac:dyDescent="0.3">
      <c r="A4" t="s">
        <v>23</v>
      </c>
      <c r="B4" t="s">
        <v>24</v>
      </c>
      <c r="C4" t="s">
        <v>25</v>
      </c>
      <c r="D4" t="s">
        <v>26</v>
      </c>
      <c r="E4" t="s">
        <v>27</v>
      </c>
      <c r="F4" t="s">
        <v>17</v>
      </c>
      <c r="G4">
        <v>9</v>
      </c>
      <c r="H4">
        <v>30000</v>
      </c>
      <c r="I4">
        <v>24000</v>
      </c>
      <c r="J4">
        <v>270000</v>
      </c>
      <c r="K4">
        <v>216000</v>
      </c>
      <c r="L4">
        <v>54000</v>
      </c>
    </row>
    <row r="5" spans="1:12" x14ac:dyDescent="0.3">
      <c r="A5" t="s">
        <v>28</v>
      </c>
      <c r="B5" t="s">
        <v>29</v>
      </c>
      <c r="C5" t="s">
        <v>30</v>
      </c>
      <c r="D5" t="s">
        <v>31</v>
      </c>
      <c r="E5" t="s">
        <v>21</v>
      </c>
      <c r="F5" t="s">
        <v>22</v>
      </c>
      <c r="G5">
        <v>1</v>
      </c>
      <c r="H5">
        <v>2000</v>
      </c>
      <c r="I5">
        <v>1200</v>
      </c>
      <c r="J5">
        <v>2000</v>
      </c>
      <c r="K5">
        <v>1200</v>
      </c>
      <c r="L5">
        <v>800</v>
      </c>
    </row>
    <row r="6" spans="1:12" x14ac:dyDescent="0.3">
      <c r="A6" t="s">
        <v>32</v>
      </c>
      <c r="B6" t="s">
        <v>33</v>
      </c>
      <c r="C6" t="s">
        <v>14</v>
      </c>
      <c r="D6" t="s">
        <v>15</v>
      </c>
      <c r="E6" t="s">
        <v>16</v>
      </c>
      <c r="F6" t="s">
        <v>17</v>
      </c>
      <c r="G6">
        <v>5</v>
      </c>
      <c r="H6">
        <v>15000</v>
      </c>
      <c r="I6">
        <v>11000</v>
      </c>
      <c r="J6">
        <v>75000</v>
      </c>
      <c r="K6">
        <v>55000</v>
      </c>
      <c r="L6">
        <v>20000</v>
      </c>
    </row>
    <row r="7" spans="1:12" x14ac:dyDescent="0.3">
      <c r="A7" t="s">
        <v>34</v>
      </c>
      <c r="B7" t="s">
        <v>35</v>
      </c>
      <c r="C7" t="s">
        <v>30</v>
      </c>
      <c r="D7" t="s">
        <v>36</v>
      </c>
      <c r="E7" t="s">
        <v>16</v>
      </c>
      <c r="F7" t="s">
        <v>17</v>
      </c>
      <c r="G7">
        <v>7</v>
      </c>
      <c r="H7">
        <v>15000</v>
      </c>
      <c r="I7">
        <v>11000</v>
      </c>
      <c r="J7">
        <v>105000</v>
      </c>
      <c r="K7">
        <v>77000</v>
      </c>
      <c r="L7">
        <v>28000</v>
      </c>
    </row>
    <row r="8" spans="1:12" x14ac:dyDescent="0.3">
      <c r="A8" t="s">
        <v>37</v>
      </c>
      <c r="B8" t="s">
        <v>38</v>
      </c>
      <c r="C8" t="s">
        <v>39</v>
      </c>
      <c r="D8" t="s">
        <v>15</v>
      </c>
      <c r="E8" t="s">
        <v>27</v>
      </c>
      <c r="F8" t="s">
        <v>17</v>
      </c>
      <c r="G8">
        <v>8</v>
      </c>
      <c r="H8">
        <v>30000</v>
      </c>
      <c r="I8">
        <v>24000</v>
      </c>
      <c r="J8">
        <v>240000</v>
      </c>
      <c r="K8">
        <v>192000</v>
      </c>
      <c r="L8">
        <v>48000</v>
      </c>
    </row>
    <row r="9" spans="1:12" x14ac:dyDescent="0.3">
      <c r="A9" t="s">
        <v>40</v>
      </c>
      <c r="B9" t="s">
        <v>41</v>
      </c>
      <c r="C9" t="s">
        <v>42</v>
      </c>
      <c r="D9" t="s">
        <v>15</v>
      </c>
      <c r="E9" t="s">
        <v>21</v>
      </c>
      <c r="F9" t="s">
        <v>22</v>
      </c>
      <c r="G9">
        <v>10</v>
      </c>
      <c r="H9">
        <v>2000</v>
      </c>
      <c r="I9">
        <v>1200</v>
      </c>
      <c r="J9">
        <v>20000</v>
      </c>
      <c r="K9">
        <v>12000</v>
      </c>
      <c r="L9">
        <v>8000</v>
      </c>
    </row>
    <row r="10" spans="1:12" x14ac:dyDescent="0.3">
      <c r="A10" t="s">
        <v>43</v>
      </c>
      <c r="B10" t="s">
        <v>44</v>
      </c>
      <c r="C10" t="s">
        <v>45</v>
      </c>
      <c r="D10" t="s">
        <v>15</v>
      </c>
      <c r="E10" t="s">
        <v>46</v>
      </c>
      <c r="F10" t="s">
        <v>17</v>
      </c>
      <c r="G10">
        <v>5</v>
      </c>
      <c r="H10">
        <v>20000</v>
      </c>
      <c r="I10">
        <v>15000</v>
      </c>
      <c r="J10">
        <v>100000</v>
      </c>
      <c r="K10">
        <v>75000</v>
      </c>
      <c r="L10">
        <v>25000</v>
      </c>
    </row>
    <row r="11" spans="1:12" x14ac:dyDescent="0.3">
      <c r="A11" t="s">
        <v>47</v>
      </c>
      <c r="B11" t="s">
        <v>48</v>
      </c>
      <c r="C11" t="s">
        <v>45</v>
      </c>
      <c r="D11" t="s">
        <v>26</v>
      </c>
      <c r="E11" t="s">
        <v>27</v>
      </c>
      <c r="F11" t="s">
        <v>17</v>
      </c>
      <c r="G11">
        <v>4</v>
      </c>
      <c r="H11">
        <v>30000</v>
      </c>
      <c r="I11">
        <v>24000</v>
      </c>
      <c r="J11">
        <v>120000</v>
      </c>
      <c r="K11">
        <v>96000</v>
      </c>
      <c r="L11">
        <v>24000</v>
      </c>
    </row>
    <row r="12" spans="1:12" x14ac:dyDescent="0.3">
      <c r="A12" t="s">
        <v>49</v>
      </c>
      <c r="B12" t="s">
        <v>50</v>
      </c>
      <c r="C12" t="s">
        <v>51</v>
      </c>
      <c r="D12" t="s">
        <v>26</v>
      </c>
      <c r="E12" t="s">
        <v>27</v>
      </c>
      <c r="F12" t="s">
        <v>17</v>
      </c>
      <c r="G12">
        <v>9</v>
      </c>
      <c r="H12">
        <v>30000</v>
      </c>
      <c r="I12">
        <v>24000</v>
      </c>
      <c r="J12">
        <v>270000</v>
      </c>
      <c r="K12">
        <v>216000</v>
      </c>
      <c r="L12">
        <v>54000</v>
      </c>
    </row>
    <row r="13" spans="1:12" x14ac:dyDescent="0.3">
      <c r="A13" t="s">
        <v>52</v>
      </c>
      <c r="B13" t="s">
        <v>53</v>
      </c>
      <c r="C13" t="s">
        <v>45</v>
      </c>
      <c r="D13" t="s">
        <v>26</v>
      </c>
      <c r="E13" t="s">
        <v>21</v>
      </c>
      <c r="F13" t="s">
        <v>22</v>
      </c>
      <c r="G13">
        <v>6</v>
      </c>
      <c r="H13">
        <v>2000</v>
      </c>
      <c r="I13">
        <v>1200</v>
      </c>
      <c r="J13">
        <v>12000</v>
      </c>
      <c r="K13">
        <v>7200</v>
      </c>
      <c r="L13">
        <v>4800</v>
      </c>
    </row>
    <row r="14" spans="1:12" x14ac:dyDescent="0.3">
      <c r="A14" t="s">
        <v>54</v>
      </c>
      <c r="B14" t="s">
        <v>55</v>
      </c>
      <c r="C14" t="s">
        <v>56</v>
      </c>
      <c r="D14" t="s">
        <v>26</v>
      </c>
      <c r="E14" t="s">
        <v>16</v>
      </c>
      <c r="F14" t="s">
        <v>17</v>
      </c>
      <c r="G14">
        <v>7</v>
      </c>
      <c r="H14">
        <v>15000</v>
      </c>
      <c r="I14">
        <v>11000</v>
      </c>
      <c r="J14">
        <v>105000</v>
      </c>
      <c r="K14">
        <v>77000</v>
      </c>
      <c r="L14">
        <v>28000</v>
      </c>
    </row>
    <row r="15" spans="1:12" x14ac:dyDescent="0.3">
      <c r="A15" t="s">
        <v>57</v>
      </c>
      <c r="B15" t="s">
        <v>48</v>
      </c>
      <c r="C15" t="s">
        <v>45</v>
      </c>
      <c r="D15" t="s">
        <v>36</v>
      </c>
      <c r="E15" t="s">
        <v>21</v>
      </c>
      <c r="F15" t="s">
        <v>22</v>
      </c>
      <c r="G15">
        <v>7</v>
      </c>
      <c r="H15">
        <v>2000</v>
      </c>
      <c r="I15">
        <v>1200</v>
      </c>
      <c r="J15">
        <v>14000</v>
      </c>
      <c r="K15">
        <v>8400</v>
      </c>
      <c r="L15">
        <v>5600</v>
      </c>
    </row>
    <row r="16" spans="1:12" x14ac:dyDescent="0.3">
      <c r="A16" t="s">
        <v>58</v>
      </c>
      <c r="B16" t="s">
        <v>59</v>
      </c>
      <c r="C16" t="s">
        <v>56</v>
      </c>
      <c r="D16" t="s">
        <v>36</v>
      </c>
      <c r="E16" t="s">
        <v>16</v>
      </c>
      <c r="F16" t="s">
        <v>17</v>
      </c>
      <c r="G16">
        <v>5</v>
      </c>
      <c r="H16">
        <v>15000</v>
      </c>
      <c r="I16">
        <v>11000</v>
      </c>
      <c r="J16">
        <v>75000</v>
      </c>
      <c r="K16">
        <v>55000</v>
      </c>
      <c r="L16">
        <v>20000</v>
      </c>
    </row>
    <row r="17" spans="1:12" x14ac:dyDescent="0.3">
      <c r="A17" t="s">
        <v>60</v>
      </c>
      <c r="B17" t="s">
        <v>61</v>
      </c>
      <c r="C17" t="s">
        <v>56</v>
      </c>
      <c r="D17" t="s">
        <v>31</v>
      </c>
      <c r="E17" t="s">
        <v>62</v>
      </c>
      <c r="F17" t="s">
        <v>17</v>
      </c>
      <c r="G17">
        <v>3</v>
      </c>
      <c r="H17">
        <v>50000</v>
      </c>
      <c r="I17">
        <v>40000</v>
      </c>
      <c r="J17">
        <v>150000</v>
      </c>
      <c r="K17">
        <v>120000</v>
      </c>
      <c r="L17">
        <v>30000</v>
      </c>
    </row>
    <row r="18" spans="1:12" x14ac:dyDescent="0.3">
      <c r="A18" t="s">
        <v>63</v>
      </c>
      <c r="B18" t="s">
        <v>64</v>
      </c>
      <c r="C18" t="s">
        <v>39</v>
      </c>
      <c r="D18" t="s">
        <v>31</v>
      </c>
      <c r="E18" t="s">
        <v>21</v>
      </c>
      <c r="F18" t="s">
        <v>22</v>
      </c>
      <c r="G18">
        <v>8</v>
      </c>
      <c r="H18">
        <v>2000</v>
      </c>
      <c r="I18">
        <v>1200</v>
      </c>
      <c r="J18">
        <v>16000</v>
      </c>
      <c r="K18">
        <v>9600</v>
      </c>
      <c r="L18">
        <v>6400</v>
      </c>
    </row>
    <row r="19" spans="1:12" x14ac:dyDescent="0.3">
      <c r="A19" t="s">
        <v>65</v>
      </c>
      <c r="B19" t="s">
        <v>66</v>
      </c>
      <c r="C19" t="s">
        <v>45</v>
      </c>
      <c r="D19" t="s">
        <v>36</v>
      </c>
      <c r="E19" t="s">
        <v>21</v>
      </c>
      <c r="F19" t="s">
        <v>22</v>
      </c>
      <c r="G19">
        <v>4</v>
      </c>
      <c r="H19">
        <v>2000</v>
      </c>
      <c r="I19">
        <v>1200</v>
      </c>
      <c r="J19">
        <v>8000</v>
      </c>
      <c r="K19">
        <v>4800</v>
      </c>
      <c r="L19">
        <v>3200</v>
      </c>
    </row>
    <row r="20" spans="1:12" x14ac:dyDescent="0.3">
      <c r="A20" t="s">
        <v>67</v>
      </c>
      <c r="B20" t="s">
        <v>68</v>
      </c>
      <c r="C20" t="s">
        <v>20</v>
      </c>
      <c r="D20" t="s">
        <v>36</v>
      </c>
      <c r="E20" t="s">
        <v>21</v>
      </c>
      <c r="F20" t="s">
        <v>22</v>
      </c>
      <c r="G20">
        <v>3</v>
      </c>
      <c r="H20">
        <v>2000</v>
      </c>
      <c r="I20">
        <v>1200</v>
      </c>
      <c r="J20">
        <v>6000</v>
      </c>
      <c r="K20">
        <v>3600</v>
      </c>
      <c r="L20">
        <v>2400</v>
      </c>
    </row>
    <row r="21" spans="1:12" x14ac:dyDescent="0.3">
      <c r="A21" t="s">
        <v>69</v>
      </c>
      <c r="B21" t="s">
        <v>70</v>
      </c>
      <c r="C21" t="s">
        <v>71</v>
      </c>
      <c r="D21" t="s">
        <v>36</v>
      </c>
      <c r="E21" t="s">
        <v>27</v>
      </c>
      <c r="F21" t="s">
        <v>17</v>
      </c>
      <c r="G21">
        <v>7</v>
      </c>
      <c r="H21">
        <v>30000</v>
      </c>
      <c r="I21">
        <v>24000</v>
      </c>
      <c r="J21">
        <v>210000</v>
      </c>
      <c r="K21">
        <v>168000</v>
      </c>
      <c r="L21">
        <v>42000</v>
      </c>
    </row>
    <row r="22" spans="1:12" x14ac:dyDescent="0.3">
      <c r="A22" t="s">
        <v>72</v>
      </c>
      <c r="B22" t="s">
        <v>73</v>
      </c>
      <c r="C22" t="s">
        <v>51</v>
      </c>
      <c r="D22" t="s">
        <v>36</v>
      </c>
      <c r="E22" t="s">
        <v>27</v>
      </c>
      <c r="F22" t="s">
        <v>17</v>
      </c>
      <c r="G22">
        <v>6</v>
      </c>
      <c r="H22">
        <v>30000</v>
      </c>
      <c r="I22">
        <v>24000</v>
      </c>
      <c r="J22">
        <v>180000</v>
      </c>
      <c r="K22">
        <v>144000</v>
      </c>
      <c r="L22">
        <v>36000</v>
      </c>
    </row>
    <row r="23" spans="1:12" x14ac:dyDescent="0.3">
      <c r="A23" t="s">
        <v>74</v>
      </c>
      <c r="B23" t="s">
        <v>75</v>
      </c>
      <c r="C23" t="s">
        <v>20</v>
      </c>
      <c r="D23" t="s">
        <v>26</v>
      </c>
      <c r="E23" t="s">
        <v>46</v>
      </c>
      <c r="F23" t="s">
        <v>17</v>
      </c>
      <c r="G23">
        <v>3</v>
      </c>
      <c r="H23">
        <v>20000</v>
      </c>
      <c r="I23">
        <v>15000</v>
      </c>
      <c r="J23">
        <v>60000</v>
      </c>
      <c r="K23">
        <v>45000</v>
      </c>
      <c r="L23">
        <v>15000</v>
      </c>
    </row>
    <row r="24" spans="1:12" x14ac:dyDescent="0.3">
      <c r="A24" t="s">
        <v>76</v>
      </c>
      <c r="B24" t="s">
        <v>77</v>
      </c>
      <c r="C24" t="s">
        <v>39</v>
      </c>
      <c r="D24" t="s">
        <v>36</v>
      </c>
      <c r="E24" t="s">
        <v>27</v>
      </c>
      <c r="F24" t="s">
        <v>17</v>
      </c>
      <c r="G24">
        <v>3</v>
      </c>
      <c r="H24">
        <v>30000</v>
      </c>
      <c r="I24">
        <v>24000</v>
      </c>
      <c r="J24">
        <v>90000</v>
      </c>
      <c r="K24">
        <v>72000</v>
      </c>
      <c r="L24">
        <v>18000</v>
      </c>
    </row>
    <row r="25" spans="1:12" x14ac:dyDescent="0.3">
      <c r="A25" t="s">
        <v>78</v>
      </c>
      <c r="B25" t="s">
        <v>79</v>
      </c>
      <c r="C25" t="s">
        <v>42</v>
      </c>
      <c r="D25" t="s">
        <v>36</v>
      </c>
      <c r="E25" t="s">
        <v>46</v>
      </c>
      <c r="F25" t="s">
        <v>17</v>
      </c>
      <c r="G25">
        <v>4</v>
      </c>
      <c r="H25">
        <v>20000</v>
      </c>
      <c r="I25">
        <v>15000</v>
      </c>
      <c r="J25">
        <v>80000</v>
      </c>
      <c r="K25">
        <v>60000</v>
      </c>
      <c r="L25">
        <v>20000</v>
      </c>
    </row>
    <row r="26" spans="1:12" x14ac:dyDescent="0.3">
      <c r="A26" t="s">
        <v>80</v>
      </c>
      <c r="B26" t="s">
        <v>81</v>
      </c>
      <c r="C26" t="s">
        <v>39</v>
      </c>
      <c r="D26" t="s">
        <v>31</v>
      </c>
      <c r="E26" t="s">
        <v>46</v>
      </c>
      <c r="F26" t="s">
        <v>17</v>
      </c>
      <c r="G26">
        <v>9</v>
      </c>
      <c r="H26">
        <v>20000</v>
      </c>
      <c r="I26">
        <v>15000</v>
      </c>
      <c r="J26">
        <v>180000</v>
      </c>
      <c r="K26">
        <v>135000</v>
      </c>
      <c r="L26">
        <v>45000</v>
      </c>
    </row>
    <row r="27" spans="1:12" x14ac:dyDescent="0.3">
      <c r="A27" t="s">
        <v>82</v>
      </c>
      <c r="B27" t="s">
        <v>83</v>
      </c>
      <c r="C27" t="s">
        <v>30</v>
      </c>
      <c r="D27" t="s">
        <v>31</v>
      </c>
      <c r="E27" t="s">
        <v>46</v>
      </c>
      <c r="F27" t="s">
        <v>17</v>
      </c>
      <c r="G27">
        <v>10</v>
      </c>
      <c r="H27">
        <v>20000</v>
      </c>
      <c r="I27">
        <v>15000</v>
      </c>
      <c r="J27">
        <v>200000</v>
      </c>
      <c r="K27">
        <v>150000</v>
      </c>
      <c r="L27">
        <v>50000</v>
      </c>
    </row>
    <row r="28" spans="1:12" x14ac:dyDescent="0.3">
      <c r="A28" t="s">
        <v>84</v>
      </c>
      <c r="B28" t="s">
        <v>85</v>
      </c>
      <c r="C28" t="s">
        <v>30</v>
      </c>
      <c r="D28" t="s">
        <v>26</v>
      </c>
      <c r="E28" t="s">
        <v>21</v>
      </c>
      <c r="F28" t="s">
        <v>22</v>
      </c>
      <c r="G28">
        <v>3</v>
      </c>
      <c r="H28">
        <v>2000</v>
      </c>
      <c r="I28">
        <v>1200</v>
      </c>
      <c r="J28">
        <v>6000</v>
      </c>
      <c r="K28">
        <v>3600</v>
      </c>
      <c r="L28">
        <v>2400</v>
      </c>
    </row>
    <row r="29" spans="1:12" x14ac:dyDescent="0.3">
      <c r="A29" t="s">
        <v>86</v>
      </c>
      <c r="B29" t="s">
        <v>87</v>
      </c>
      <c r="C29" t="s">
        <v>71</v>
      </c>
      <c r="D29" t="s">
        <v>26</v>
      </c>
      <c r="E29" t="s">
        <v>21</v>
      </c>
      <c r="F29" t="s">
        <v>22</v>
      </c>
      <c r="G29">
        <v>8</v>
      </c>
      <c r="H29">
        <v>2000</v>
      </c>
      <c r="I29">
        <v>1200</v>
      </c>
      <c r="J29">
        <v>16000</v>
      </c>
      <c r="K29">
        <v>9600</v>
      </c>
      <c r="L29">
        <v>6400</v>
      </c>
    </row>
    <row r="30" spans="1:12" x14ac:dyDescent="0.3">
      <c r="A30" t="s">
        <v>88</v>
      </c>
      <c r="B30" t="s">
        <v>89</v>
      </c>
      <c r="C30" t="s">
        <v>90</v>
      </c>
      <c r="D30" t="s">
        <v>31</v>
      </c>
      <c r="E30" t="s">
        <v>46</v>
      </c>
      <c r="F30" t="s">
        <v>17</v>
      </c>
      <c r="G30">
        <v>7</v>
      </c>
      <c r="H30">
        <v>20000</v>
      </c>
      <c r="I30">
        <v>15000</v>
      </c>
      <c r="J30">
        <v>140000</v>
      </c>
      <c r="K30">
        <v>105000</v>
      </c>
      <c r="L30">
        <v>35000</v>
      </c>
    </row>
    <row r="31" spans="1:12" x14ac:dyDescent="0.3">
      <c r="A31" t="s">
        <v>91</v>
      </c>
      <c r="B31" t="s">
        <v>92</v>
      </c>
      <c r="C31" t="s">
        <v>30</v>
      </c>
      <c r="D31" t="s">
        <v>26</v>
      </c>
      <c r="E31" t="s">
        <v>21</v>
      </c>
      <c r="F31" t="s">
        <v>22</v>
      </c>
      <c r="G31">
        <v>4</v>
      </c>
      <c r="H31">
        <v>2000</v>
      </c>
      <c r="I31">
        <v>1200</v>
      </c>
      <c r="J31">
        <v>8000</v>
      </c>
      <c r="K31">
        <v>4800</v>
      </c>
      <c r="L31">
        <v>3200</v>
      </c>
    </row>
    <row r="32" spans="1:12" x14ac:dyDescent="0.3">
      <c r="A32" t="s">
        <v>93</v>
      </c>
      <c r="B32" t="s">
        <v>94</v>
      </c>
      <c r="C32" t="s">
        <v>51</v>
      </c>
      <c r="D32" t="s">
        <v>36</v>
      </c>
      <c r="E32" t="s">
        <v>62</v>
      </c>
      <c r="F32" t="s">
        <v>17</v>
      </c>
      <c r="G32">
        <v>5</v>
      </c>
      <c r="H32">
        <v>50000</v>
      </c>
      <c r="I32">
        <v>40000</v>
      </c>
      <c r="J32">
        <v>250000</v>
      </c>
      <c r="K32">
        <v>200000</v>
      </c>
      <c r="L32">
        <v>50000</v>
      </c>
    </row>
    <row r="33" spans="1:12" x14ac:dyDescent="0.3">
      <c r="A33" t="s">
        <v>95</v>
      </c>
      <c r="B33" t="s">
        <v>96</v>
      </c>
      <c r="C33" t="s">
        <v>71</v>
      </c>
      <c r="D33" t="s">
        <v>36</v>
      </c>
      <c r="E33" t="s">
        <v>46</v>
      </c>
      <c r="F33" t="s">
        <v>17</v>
      </c>
      <c r="G33">
        <v>1</v>
      </c>
      <c r="H33">
        <v>20000</v>
      </c>
      <c r="I33">
        <v>15000</v>
      </c>
      <c r="J33">
        <v>20000</v>
      </c>
      <c r="K33">
        <v>15000</v>
      </c>
      <c r="L33">
        <v>5000</v>
      </c>
    </row>
    <row r="34" spans="1:12" x14ac:dyDescent="0.3">
      <c r="A34" t="s">
        <v>97</v>
      </c>
      <c r="B34" t="s">
        <v>98</v>
      </c>
      <c r="C34" t="s">
        <v>39</v>
      </c>
      <c r="D34" t="s">
        <v>15</v>
      </c>
      <c r="E34" t="s">
        <v>62</v>
      </c>
      <c r="F34" t="s">
        <v>17</v>
      </c>
      <c r="G34">
        <v>10</v>
      </c>
      <c r="H34">
        <v>50000</v>
      </c>
      <c r="I34">
        <v>40000</v>
      </c>
      <c r="J34">
        <v>500000</v>
      </c>
      <c r="K34">
        <v>400000</v>
      </c>
      <c r="L34">
        <v>100000</v>
      </c>
    </row>
    <row r="35" spans="1:12" x14ac:dyDescent="0.3">
      <c r="A35" t="s">
        <v>99</v>
      </c>
      <c r="B35" t="s">
        <v>100</v>
      </c>
      <c r="C35" t="s">
        <v>90</v>
      </c>
      <c r="D35" t="s">
        <v>15</v>
      </c>
      <c r="E35" t="s">
        <v>62</v>
      </c>
      <c r="F35" t="s">
        <v>17</v>
      </c>
      <c r="G35">
        <v>8</v>
      </c>
      <c r="H35">
        <v>50000</v>
      </c>
      <c r="I35">
        <v>40000</v>
      </c>
      <c r="J35">
        <v>400000</v>
      </c>
      <c r="K35">
        <v>320000</v>
      </c>
      <c r="L35">
        <v>80000</v>
      </c>
    </row>
    <row r="36" spans="1:12" x14ac:dyDescent="0.3">
      <c r="A36" t="s">
        <v>101</v>
      </c>
      <c r="B36" t="s">
        <v>102</v>
      </c>
      <c r="C36" t="s">
        <v>56</v>
      </c>
      <c r="D36" t="s">
        <v>36</v>
      </c>
      <c r="E36" t="s">
        <v>46</v>
      </c>
      <c r="F36" t="s">
        <v>17</v>
      </c>
      <c r="G36">
        <v>7</v>
      </c>
      <c r="H36">
        <v>20000</v>
      </c>
      <c r="I36">
        <v>15000</v>
      </c>
      <c r="J36">
        <v>140000</v>
      </c>
      <c r="K36">
        <v>105000</v>
      </c>
      <c r="L36">
        <v>35000</v>
      </c>
    </row>
    <row r="37" spans="1:12" x14ac:dyDescent="0.3">
      <c r="A37" t="s">
        <v>103</v>
      </c>
      <c r="B37" t="s">
        <v>68</v>
      </c>
      <c r="C37" t="s">
        <v>20</v>
      </c>
      <c r="D37" t="s">
        <v>15</v>
      </c>
      <c r="E37" t="s">
        <v>21</v>
      </c>
      <c r="F37" t="s">
        <v>22</v>
      </c>
      <c r="G37">
        <v>7</v>
      </c>
      <c r="H37">
        <v>2000</v>
      </c>
      <c r="I37">
        <v>1200</v>
      </c>
      <c r="J37">
        <v>14000</v>
      </c>
      <c r="K37">
        <v>8400</v>
      </c>
      <c r="L37">
        <v>5600</v>
      </c>
    </row>
    <row r="38" spans="1:12" x14ac:dyDescent="0.3">
      <c r="A38" t="s">
        <v>104</v>
      </c>
      <c r="B38" t="s">
        <v>105</v>
      </c>
      <c r="C38" t="s">
        <v>90</v>
      </c>
      <c r="D38" t="s">
        <v>36</v>
      </c>
      <c r="E38" t="s">
        <v>46</v>
      </c>
      <c r="F38" t="s">
        <v>17</v>
      </c>
      <c r="G38">
        <v>8</v>
      </c>
      <c r="H38">
        <v>20000</v>
      </c>
      <c r="I38">
        <v>15000</v>
      </c>
      <c r="J38">
        <v>160000</v>
      </c>
      <c r="K38">
        <v>120000</v>
      </c>
      <c r="L38">
        <v>40000</v>
      </c>
    </row>
    <row r="39" spans="1:12" x14ac:dyDescent="0.3">
      <c r="A39" t="s">
        <v>106</v>
      </c>
      <c r="B39" t="s">
        <v>107</v>
      </c>
      <c r="C39" t="s">
        <v>71</v>
      </c>
      <c r="D39" t="s">
        <v>31</v>
      </c>
      <c r="E39" t="s">
        <v>21</v>
      </c>
      <c r="F39" t="s">
        <v>22</v>
      </c>
      <c r="G39">
        <v>1</v>
      </c>
      <c r="H39">
        <v>2000</v>
      </c>
      <c r="I39">
        <v>1200</v>
      </c>
      <c r="J39">
        <v>2000</v>
      </c>
      <c r="K39">
        <v>1200</v>
      </c>
      <c r="L39">
        <v>800</v>
      </c>
    </row>
    <row r="40" spans="1:12" x14ac:dyDescent="0.3">
      <c r="A40" t="s">
        <v>108</v>
      </c>
      <c r="B40" t="s">
        <v>109</v>
      </c>
      <c r="C40" t="s">
        <v>51</v>
      </c>
      <c r="D40" t="s">
        <v>31</v>
      </c>
      <c r="E40" t="s">
        <v>62</v>
      </c>
      <c r="F40" t="s">
        <v>17</v>
      </c>
      <c r="G40">
        <v>2</v>
      </c>
      <c r="H40">
        <v>50000</v>
      </c>
      <c r="I40">
        <v>40000</v>
      </c>
      <c r="J40">
        <v>100000</v>
      </c>
      <c r="K40">
        <v>80000</v>
      </c>
      <c r="L40">
        <v>20000</v>
      </c>
    </row>
    <row r="41" spans="1:12" x14ac:dyDescent="0.3">
      <c r="A41" t="s">
        <v>110</v>
      </c>
      <c r="B41" t="s">
        <v>19</v>
      </c>
      <c r="C41" t="s">
        <v>20</v>
      </c>
      <c r="D41" t="s">
        <v>31</v>
      </c>
      <c r="E41" t="s">
        <v>21</v>
      </c>
      <c r="F41" t="s">
        <v>22</v>
      </c>
      <c r="G41">
        <v>2</v>
      </c>
      <c r="H41">
        <v>2000</v>
      </c>
      <c r="I41">
        <v>1200</v>
      </c>
      <c r="J41">
        <v>4000</v>
      </c>
      <c r="K41">
        <v>2400</v>
      </c>
      <c r="L41">
        <v>1600</v>
      </c>
    </row>
    <row r="42" spans="1:12" x14ac:dyDescent="0.3">
      <c r="A42" t="s">
        <v>111</v>
      </c>
      <c r="B42" t="s">
        <v>112</v>
      </c>
      <c r="C42" t="s">
        <v>20</v>
      </c>
      <c r="D42" t="s">
        <v>31</v>
      </c>
      <c r="E42" t="s">
        <v>21</v>
      </c>
      <c r="F42" t="s">
        <v>22</v>
      </c>
      <c r="G42">
        <v>5</v>
      </c>
      <c r="H42">
        <v>2000</v>
      </c>
      <c r="I42">
        <v>1200</v>
      </c>
      <c r="J42">
        <v>10000</v>
      </c>
      <c r="K42">
        <v>6000</v>
      </c>
      <c r="L42">
        <v>4000</v>
      </c>
    </row>
    <row r="43" spans="1:12" x14ac:dyDescent="0.3">
      <c r="A43" t="s">
        <v>113</v>
      </c>
      <c r="B43" t="s">
        <v>114</v>
      </c>
      <c r="C43" t="s">
        <v>39</v>
      </c>
      <c r="D43" t="s">
        <v>15</v>
      </c>
      <c r="E43" t="s">
        <v>46</v>
      </c>
      <c r="F43" t="s">
        <v>17</v>
      </c>
      <c r="G43">
        <v>9</v>
      </c>
      <c r="H43">
        <v>20000</v>
      </c>
      <c r="I43">
        <v>15000</v>
      </c>
      <c r="J43">
        <v>180000</v>
      </c>
      <c r="K43">
        <v>135000</v>
      </c>
      <c r="L43">
        <v>45000</v>
      </c>
    </row>
    <row r="44" spans="1:12" x14ac:dyDescent="0.3">
      <c r="A44" t="s">
        <v>115</v>
      </c>
      <c r="B44" t="s">
        <v>116</v>
      </c>
      <c r="C44" t="s">
        <v>56</v>
      </c>
      <c r="D44" t="s">
        <v>15</v>
      </c>
      <c r="E44" t="s">
        <v>16</v>
      </c>
      <c r="F44" t="s">
        <v>17</v>
      </c>
      <c r="G44">
        <v>2</v>
      </c>
      <c r="H44">
        <v>15000</v>
      </c>
      <c r="I44">
        <v>11000</v>
      </c>
      <c r="J44">
        <v>30000</v>
      </c>
      <c r="K44">
        <v>22000</v>
      </c>
      <c r="L44">
        <v>8000</v>
      </c>
    </row>
    <row r="45" spans="1:12" x14ac:dyDescent="0.3">
      <c r="A45" t="s">
        <v>117</v>
      </c>
      <c r="B45" t="s">
        <v>118</v>
      </c>
      <c r="C45" t="s">
        <v>25</v>
      </c>
      <c r="D45" t="s">
        <v>31</v>
      </c>
      <c r="E45" t="s">
        <v>46</v>
      </c>
      <c r="F45" t="s">
        <v>17</v>
      </c>
      <c r="G45">
        <v>3</v>
      </c>
      <c r="H45">
        <v>20000</v>
      </c>
      <c r="I45">
        <v>15000</v>
      </c>
      <c r="J45">
        <v>60000</v>
      </c>
      <c r="K45">
        <v>45000</v>
      </c>
      <c r="L45">
        <v>15000</v>
      </c>
    </row>
    <row r="46" spans="1:12" x14ac:dyDescent="0.3">
      <c r="A46" t="s">
        <v>119</v>
      </c>
      <c r="B46" t="s">
        <v>120</v>
      </c>
      <c r="C46" t="s">
        <v>121</v>
      </c>
      <c r="D46" t="s">
        <v>15</v>
      </c>
      <c r="E46" t="s">
        <v>46</v>
      </c>
      <c r="F46" t="s">
        <v>17</v>
      </c>
      <c r="G46">
        <v>8</v>
      </c>
      <c r="H46">
        <v>20000</v>
      </c>
      <c r="I46">
        <v>15000</v>
      </c>
      <c r="J46">
        <v>160000</v>
      </c>
      <c r="K46">
        <v>120000</v>
      </c>
      <c r="L46">
        <v>40000</v>
      </c>
    </row>
    <row r="47" spans="1:12" x14ac:dyDescent="0.3">
      <c r="A47" t="s">
        <v>122</v>
      </c>
      <c r="B47" t="s">
        <v>123</v>
      </c>
      <c r="C47" t="s">
        <v>14</v>
      </c>
      <c r="D47" t="s">
        <v>31</v>
      </c>
      <c r="E47" t="s">
        <v>21</v>
      </c>
      <c r="F47" t="s">
        <v>22</v>
      </c>
      <c r="G47">
        <v>5</v>
      </c>
      <c r="H47">
        <v>2000</v>
      </c>
      <c r="I47">
        <v>1200</v>
      </c>
      <c r="J47">
        <v>10000</v>
      </c>
      <c r="K47">
        <v>6000</v>
      </c>
      <c r="L47">
        <v>4000</v>
      </c>
    </row>
    <row r="48" spans="1:12" x14ac:dyDescent="0.3">
      <c r="A48" t="s">
        <v>124</v>
      </c>
      <c r="B48" t="s">
        <v>125</v>
      </c>
      <c r="C48" t="s">
        <v>121</v>
      </c>
      <c r="D48" t="s">
        <v>26</v>
      </c>
      <c r="E48" t="s">
        <v>27</v>
      </c>
      <c r="F48" t="s">
        <v>17</v>
      </c>
      <c r="G48">
        <v>10</v>
      </c>
      <c r="H48">
        <v>30000</v>
      </c>
      <c r="I48">
        <v>24000</v>
      </c>
      <c r="J48">
        <v>300000</v>
      </c>
      <c r="K48">
        <v>240000</v>
      </c>
      <c r="L48">
        <v>60000</v>
      </c>
    </row>
    <row r="49" spans="1:12" x14ac:dyDescent="0.3">
      <c r="A49" t="s">
        <v>126</v>
      </c>
      <c r="B49" t="s">
        <v>59</v>
      </c>
      <c r="C49" t="s">
        <v>56</v>
      </c>
      <c r="D49" t="s">
        <v>15</v>
      </c>
      <c r="E49" t="s">
        <v>27</v>
      </c>
      <c r="F49" t="s">
        <v>17</v>
      </c>
      <c r="G49">
        <v>6</v>
      </c>
      <c r="H49">
        <v>30000</v>
      </c>
      <c r="I49">
        <v>24000</v>
      </c>
      <c r="J49">
        <v>180000</v>
      </c>
      <c r="K49">
        <v>144000</v>
      </c>
      <c r="L49">
        <v>36000</v>
      </c>
    </row>
    <row r="50" spans="1:12" x14ac:dyDescent="0.3">
      <c r="A50" t="s">
        <v>127</v>
      </c>
      <c r="B50" t="s">
        <v>128</v>
      </c>
      <c r="C50" t="s">
        <v>39</v>
      </c>
      <c r="D50" t="s">
        <v>36</v>
      </c>
      <c r="E50" t="s">
        <v>16</v>
      </c>
      <c r="F50" t="s">
        <v>17</v>
      </c>
      <c r="G50">
        <v>5</v>
      </c>
      <c r="H50">
        <v>15000</v>
      </c>
      <c r="I50">
        <v>11000</v>
      </c>
      <c r="J50">
        <v>75000</v>
      </c>
      <c r="K50">
        <v>55000</v>
      </c>
      <c r="L50">
        <v>20000</v>
      </c>
    </row>
    <row r="51" spans="1:12" x14ac:dyDescent="0.3">
      <c r="A51" t="s">
        <v>129</v>
      </c>
      <c r="B51" t="s">
        <v>128</v>
      </c>
      <c r="C51" t="s">
        <v>39</v>
      </c>
      <c r="D51" t="s">
        <v>31</v>
      </c>
      <c r="E51" t="s">
        <v>62</v>
      </c>
      <c r="F51" t="s">
        <v>17</v>
      </c>
      <c r="G51">
        <v>2</v>
      </c>
      <c r="H51">
        <v>50000</v>
      </c>
      <c r="I51">
        <v>40000</v>
      </c>
      <c r="J51">
        <v>100000</v>
      </c>
      <c r="K51">
        <v>80000</v>
      </c>
      <c r="L51">
        <v>20000</v>
      </c>
    </row>
    <row r="52" spans="1:12" x14ac:dyDescent="0.3">
      <c r="A52" t="s">
        <v>130</v>
      </c>
      <c r="B52" t="s">
        <v>131</v>
      </c>
      <c r="C52" t="s">
        <v>20</v>
      </c>
      <c r="D52" t="s">
        <v>31</v>
      </c>
      <c r="E52" t="s">
        <v>16</v>
      </c>
      <c r="F52" t="s">
        <v>17</v>
      </c>
      <c r="G52">
        <v>8</v>
      </c>
      <c r="H52">
        <v>15000</v>
      </c>
      <c r="I52">
        <v>11000</v>
      </c>
      <c r="J52">
        <v>120000</v>
      </c>
      <c r="K52">
        <v>88000</v>
      </c>
      <c r="L52">
        <v>32000</v>
      </c>
    </row>
    <row r="53" spans="1:12" x14ac:dyDescent="0.3">
      <c r="A53" t="s">
        <v>132</v>
      </c>
      <c r="B53" t="s">
        <v>133</v>
      </c>
      <c r="C53" t="s">
        <v>42</v>
      </c>
      <c r="D53" t="s">
        <v>31</v>
      </c>
      <c r="E53" t="s">
        <v>62</v>
      </c>
      <c r="F53" t="s">
        <v>17</v>
      </c>
      <c r="G53">
        <v>8</v>
      </c>
      <c r="H53">
        <v>50000</v>
      </c>
      <c r="I53">
        <v>40000</v>
      </c>
      <c r="J53">
        <v>400000</v>
      </c>
      <c r="K53">
        <v>320000</v>
      </c>
      <c r="L53">
        <v>80000</v>
      </c>
    </row>
    <row r="54" spans="1:12" x14ac:dyDescent="0.3">
      <c r="A54" t="s">
        <v>134</v>
      </c>
      <c r="B54" t="s">
        <v>38</v>
      </c>
      <c r="C54" t="s">
        <v>39</v>
      </c>
      <c r="D54" t="s">
        <v>31</v>
      </c>
      <c r="E54" t="s">
        <v>27</v>
      </c>
      <c r="F54" t="s">
        <v>17</v>
      </c>
      <c r="G54">
        <v>3</v>
      </c>
      <c r="H54">
        <v>30000</v>
      </c>
      <c r="I54">
        <v>24000</v>
      </c>
      <c r="J54">
        <v>90000</v>
      </c>
      <c r="K54">
        <v>72000</v>
      </c>
      <c r="L54">
        <v>18000</v>
      </c>
    </row>
    <row r="55" spans="1:12" x14ac:dyDescent="0.3">
      <c r="A55" t="s">
        <v>135</v>
      </c>
      <c r="B55" t="s">
        <v>136</v>
      </c>
      <c r="C55" t="s">
        <v>30</v>
      </c>
      <c r="D55" t="s">
        <v>31</v>
      </c>
      <c r="E55" t="s">
        <v>62</v>
      </c>
      <c r="F55" t="s">
        <v>17</v>
      </c>
      <c r="G55">
        <v>8</v>
      </c>
      <c r="H55">
        <v>50000</v>
      </c>
      <c r="I55">
        <v>40000</v>
      </c>
      <c r="J55">
        <v>400000</v>
      </c>
      <c r="K55">
        <v>320000</v>
      </c>
      <c r="L55">
        <v>80000</v>
      </c>
    </row>
    <row r="56" spans="1:12" x14ac:dyDescent="0.3">
      <c r="A56" t="s">
        <v>137</v>
      </c>
      <c r="B56" t="s">
        <v>138</v>
      </c>
      <c r="C56" t="s">
        <v>121</v>
      </c>
      <c r="D56" t="s">
        <v>36</v>
      </c>
      <c r="E56" t="s">
        <v>16</v>
      </c>
      <c r="F56" t="s">
        <v>17</v>
      </c>
      <c r="G56">
        <v>2</v>
      </c>
      <c r="H56">
        <v>15000</v>
      </c>
      <c r="I56">
        <v>11000</v>
      </c>
      <c r="J56">
        <v>30000</v>
      </c>
      <c r="K56">
        <v>22000</v>
      </c>
      <c r="L56">
        <v>8000</v>
      </c>
    </row>
    <row r="57" spans="1:12" x14ac:dyDescent="0.3">
      <c r="A57" t="s">
        <v>139</v>
      </c>
      <c r="B57" t="s">
        <v>140</v>
      </c>
      <c r="C57" t="s">
        <v>121</v>
      </c>
      <c r="D57" t="s">
        <v>36</v>
      </c>
      <c r="E57" t="s">
        <v>27</v>
      </c>
      <c r="F57" t="s">
        <v>17</v>
      </c>
      <c r="G57">
        <v>4</v>
      </c>
      <c r="H57">
        <v>30000</v>
      </c>
      <c r="I57">
        <v>24000</v>
      </c>
      <c r="J57">
        <v>120000</v>
      </c>
      <c r="K57">
        <v>96000</v>
      </c>
      <c r="L57">
        <v>24000</v>
      </c>
    </row>
    <row r="58" spans="1:12" x14ac:dyDescent="0.3">
      <c r="A58" t="s">
        <v>141</v>
      </c>
      <c r="B58" t="s">
        <v>142</v>
      </c>
      <c r="C58" t="s">
        <v>39</v>
      </c>
      <c r="D58" t="s">
        <v>26</v>
      </c>
      <c r="E58" t="s">
        <v>16</v>
      </c>
      <c r="F58" t="s">
        <v>17</v>
      </c>
      <c r="G58">
        <v>9</v>
      </c>
      <c r="H58">
        <v>15000</v>
      </c>
      <c r="I58">
        <v>11000</v>
      </c>
      <c r="J58">
        <v>135000</v>
      </c>
      <c r="K58">
        <v>99000</v>
      </c>
      <c r="L58">
        <v>36000</v>
      </c>
    </row>
    <row r="59" spans="1:12" x14ac:dyDescent="0.3">
      <c r="A59" t="s">
        <v>143</v>
      </c>
      <c r="B59" t="s">
        <v>144</v>
      </c>
      <c r="C59" t="s">
        <v>71</v>
      </c>
      <c r="D59" t="s">
        <v>26</v>
      </c>
      <c r="E59" t="s">
        <v>27</v>
      </c>
      <c r="F59" t="s">
        <v>17</v>
      </c>
      <c r="G59">
        <v>6</v>
      </c>
      <c r="H59">
        <v>30000</v>
      </c>
      <c r="I59">
        <v>24000</v>
      </c>
      <c r="J59">
        <v>180000</v>
      </c>
      <c r="K59">
        <v>144000</v>
      </c>
      <c r="L59">
        <v>36000</v>
      </c>
    </row>
    <row r="60" spans="1:12" x14ac:dyDescent="0.3">
      <c r="A60" t="s">
        <v>145</v>
      </c>
      <c r="B60" t="s">
        <v>146</v>
      </c>
      <c r="C60" t="s">
        <v>121</v>
      </c>
      <c r="D60" t="s">
        <v>31</v>
      </c>
      <c r="E60" t="s">
        <v>27</v>
      </c>
      <c r="F60" t="s">
        <v>17</v>
      </c>
      <c r="G60">
        <v>9</v>
      </c>
      <c r="H60">
        <v>30000</v>
      </c>
      <c r="I60">
        <v>24000</v>
      </c>
      <c r="J60">
        <v>270000</v>
      </c>
      <c r="K60">
        <v>216000</v>
      </c>
      <c r="L60">
        <v>54000</v>
      </c>
    </row>
    <row r="61" spans="1:12" x14ac:dyDescent="0.3">
      <c r="A61" t="s">
        <v>147</v>
      </c>
      <c r="B61" t="s">
        <v>148</v>
      </c>
      <c r="C61" t="s">
        <v>25</v>
      </c>
      <c r="D61" t="s">
        <v>15</v>
      </c>
      <c r="E61" t="s">
        <v>27</v>
      </c>
      <c r="F61" t="s">
        <v>17</v>
      </c>
      <c r="G61">
        <v>3</v>
      </c>
      <c r="H61">
        <v>30000</v>
      </c>
      <c r="I61">
        <v>24000</v>
      </c>
      <c r="J61">
        <v>90000</v>
      </c>
      <c r="K61">
        <v>72000</v>
      </c>
      <c r="L61">
        <v>18000</v>
      </c>
    </row>
    <row r="62" spans="1:12" x14ac:dyDescent="0.3">
      <c r="A62" t="s">
        <v>149</v>
      </c>
      <c r="B62" t="s">
        <v>150</v>
      </c>
      <c r="C62" t="s">
        <v>45</v>
      </c>
      <c r="D62" t="s">
        <v>15</v>
      </c>
      <c r="E62" t="s">
        <v>46</v>
      </c>
      <c r="F62" t="s">
        <v>17</v>
      </c>
      <c r="G62">
        <v>4</v>
      </c>
      <c r="H62">
        <v>20000</v>
      </c>
      <c r="I62">
        <v>15000</v>
      </c>
      <c r="J62">
        <v>80000</v>
      </c>
      <c r="K62">
        <v>60000</v>
      </c>
      <c r="L62">
        <v>20000</v>
      </c>
    </row>
    <row r="63" spans="1:12" x14ac:dyDescent="0.3">
      <c r="A63" t="s">
        <v>151</v>
      </c>
      <c r="B63" t="s">
        <v>152</v>
      </c>
      <c r="C63" t="s">
        <v>20</v>
      </c>
      <c r="D63" t="s">
        <v>31</v>
      </c>
      <c r="E63" t="s">
        <v>16</v>
      </c>
      <c r="F63" t="s">
        <v>17</v>
      </c>
      <c r="G63">
        <v>8</v>
      </c>
      <c r="H63">
        <v>15000</v>
      </c>
      <c r="I63">
        <v>11000</v>
      </c>
      <c r="J63">
        <v>120000</v>
      </c>
      <c r="K63">
        <v>88000</v>
      </c>
      <c r="L63">
        <v>32000</v>
      </c>
    </row>
    <row r="64" spans="1:12" x14ac:dyDescent="0.3">
      <c r="A64" t="s">
        <v>153</v>
      </c>
      <c r="B64" t="s">
        <v>154</v>
      </c>
      <c r="C64" t="s">
        <v>14</v>
      </c>
      <c r="D64" t="s">
        <v>31</v>
      </c>
      <c r="E64" t="s">
        <v>46</v>
      </c>
      <c r="F64" t="s">
        <v>17</v>
      </c>
      <c r="G64">
        <v>2</v>
      </c>
      <c r="H64">
        <v>20000</v>
      </c>
      <c r="I64">
        <v>15000</v>
      </c>
      <c r="J64">
        <v>40000</v>
      </c>
      <c r="K64">
        <v>30000</v>
      </c>
      <c r="L64">
        <v>10000</v>
      </c>
    </row>
    <row r="65" spans="1:12" x14ac:dyDescent="0.3">
      <c r="A65" t="s">
        <v>155</v>
      </c>
      <c r="B65" t="s">
        <v>156</v>
      </c>
      <c r="C65" t="s">
        <v>71</v>
      </c>
      <c r="D65" t="s">
        <v>36</v>
      </c>
      <c r="E65" t="s">
        <v>62</v>
      </c>
      <c r="F65" t="s">
        <v>17</v>
      </c>
      <c r="G65">
        <v>1</v>
      </c>
      <c r="H65">
        <v>50000</v>
      </c>
      <c r="I65">
        <v>40000</v>
      </c>
      <c r="J65">
        <v>50000</v>
      </c>
      <c r="K65">
        <v>40000</v>
      </c>
      <c r="L65">
        <v>10000</v>
      </c>
    </row>
    <row r="66" spans="1:12" x14ac:dyDescent="0.3">
      <c r="A66" t="s">
        <v>157</v>
      </c>
      <c r="B66" t="s">
        <v>158</v>
      </c>
      <c r="C66" t="s">
        <v>51</v>
      </c>
      <c r="D66" t="s">
        <v>31</v>
      </c>
      <c r="E66" t="s">
        <v>21</v>
      </c>
      <c r="F66" t="s">
        <v>22</v>
      </c>
      <c r="G66">
        <v>10</v>
      </c>
      <c r="H66">
        <v>2000</v>
      </c>
      <c r="I66">
        <v>1200</v>
      </c>
      <c r="J66">
        <v>20000</v>
      </c>
      <c r="K66">
        <v>12000</v>
      </c>
      <c r="L66">
        <v>8000</v>
      </c>
    </row>
    <row r="67" spans="1:12" x14ac:dyDescent="0.3">
      <c r="A67" t="s">
        <v>159</v>
      </c>
      <c r="B67" t="s">
        <v>160</v>
      </c>
      <c r="C67" t="s">
        <v>121</v>
      </c>
      <c r="D67" t="s">
        <v>26</v>
      </c>
      <c r="E67" t="s">
        <v>62</v>
      </c>
      <c r="F67" t="s">
        <v>17</v>
      </c>
      <c r="G67">
        <v>4</v>
      </c>
      <c r="H67">
        <v>50000</v>
      </c>
      <c r="I67">
        <v>40000</v>
      </c>
      <c r="J67">
        <v>200000</v>
      </c>
      <c r="K67">
        <v>160000</v>
      </c>
      <c r="L67">
        <v>40000</v>
      </c>
    </row>
    <row r="68" spans="1:12" x14ac:dyDescent="0.3">
      <c r="A68" t="s">
        <v>161</v>
      </c>
      <c r="B68" t="s">
        <v>162</v>
      </c>
      <c r="C68" t="s">
        <v>45</v>
      </c>
      <c r="D68" t="s">
        <v>36</v>
      </c>
      <c r="E68" t="s">
        <v>46</v>
      </c>
      <c r="F68" t="s">
        <v>17</v>
      </c>
      <c r="G68">
        <v>2</v>
      </c>
      <c r="H68">
        <v>20000</v>
      </c>
      <c r="I68">
        <v>15000</v>
      </c>
      <c r="J68">
        <v>40000</v>
      </c>
      <c r="K68">
        <v>30000</v>
      </c>
      <c r="L68">
        <v>10000</v>
      </c>
    </row>
    <row r="69" spans="1:12" x14ac:dyDescent="0.3">
      <c r="A69" t="s">
        <v>163</v>
      </c>
      <c r="B69" t="s">
        <v>96</v>
      </c>
      <c r="C69" t="s">
        <v>71</v>
      </c>
      <c r="D69" t="s">
        <v>31</v>
      </c>
      <c r="E69" t="s">
        <v>16</v>
      </c>
      <c r="F69" t="s">
        <v>17</v>
      </c>
      <c r="G69">
        <v>10</v>
      </c>
      <c r="H69">
        <v>15000</v>
      </c>
      <c r="I69">
        <v>11000</v>
      </c>
      <c r="J69">
        <v>150000</v>
      </c>
      <c r="K69">
        <v>110000</v>
      </c>
      <c r="L69">
        <v>40000</v>
      </c>
    </row>
    <row r="70" spans="1:12" x14ac:dyDescent="0.3">
      <c r="A70" t="s">
        <v>164</v>
      </c>
      <c r="B70" t="s">
        <v>165</v>
      </c>
      <c r="C70" t="s">
        <v>30</v>
      </c>
      <c r="D70" t="s">
        <v>15</v>
      </c>
      <c r="E70" t="s">
        <v>21</v>
      </c>
      <c r="F70" t="s">
        <v>22</v>
      </c>
      <c r="G70">
        <v>2</v>
      </c>
      <c r="H70">
        <v>2000</v>
      </c>
      <c r="I70">
        <v>1200</v>
      </c>
      <c r="J70">
        <v>4000</v>
      </c>
      <c r="K70">
        <v>2400</v>
      </c>
      <c r="L70">
        <v>1600</v>
      </c>
    </row>
    <row r="71" spans="1:12" x14ac:dyDescent="0.3">
      <c r="A71" t="s">
        <v>166</v>
      </c>
      <c r="B71" t="s">
        <v>167</v>
      </c>
      <c r="C71" t="s">
        <v>71</v>
      </c>
      <c r="D71" t="s">
        <v>15</v>
      </c>
      <c r="E71" t="s">
        <v>46</v>
      </c>
      <c r="F71" t="s">
        <v>17</v>
      </c>
      <c r="G71">
        <v>4</v>
      </c>
      <c r="H71">
        <v>20000</v>
      </c>
      <c r="I71">
        <v>15000</v>
      </c>
      <c r="J71">
        <v>80000</v>
      </c>
      <c r="K71">
        <v>60000</v>
      </c>
      <c r="L71">
        <v>20000</v>
      </c>
    </row>
    <row r="72" spans="1:12" x14ac:dyDescent="0.3">
      <c r="A72" t="s">
        <v>168</v>
      </c>
      <c r="B72" t="s">
        <v>169</v>
      </c>
      <c r="C72" t="s">
        <v>121</v>
      </c>
      <c r="D72" t="s">
        <v>15</v>
      </c>
      <c r="E72" t="s">
        <v>46</v>
      </c>
      <c r="F72" t="s">
        <v>17</v>
      </c>
      <c r="G72">
        <v>6</v>
      </c>
      <c r="H72">
        <v>20000</v>
      </c>
      <c r="I72">
        <v>15000</v>
      </c>
      <c r="J72">
        <v>120000</v>
      </c>
      <c r="K72">
        <v>90000</v>
      </c>
      <c r="L72">
        <v>30000</v>
      </c>
    </row>
    <row r="73" spans="1:12" x14ac:dyDescent="0.3">
      <c r="A73" t="s">
        <v>170</v>
      </c>
      <c r="B73" t="s">
        <v>171</v>
      </c>
      <c r="C73" t="s">
        <v>51</v>
      </c>
      <c r="D73" t="s">
        <v>31</v>
      </c>
      <c r="E73" t="s">
        <v>27</v>
      </c>
      <c r="F73" t="s">
        <v>17</v>
      </c>
      <c r="G73">
        <v>2</v>
      </c>
      <c r="H73">
        <v>30000</v>
      </c>
      <c r="I73">
        <v>24000</v>
      </c>
      <c r="J73">
        <v>60000</v>
      </c>
      <c r="K73">
        <v>48000</v>
      </c>
      <c r="L73">
        <v>12000</v>
      </c>
    </row>
    <row r="74" spans="1:12" x14ac:dyDescent="0.3">
      <c r="A74" t="s">
        <v>172</v>
      </c>
      <c r="B74" t="s">
        <v>173</v>
      </c>
      <c r="C74" t="s">
        <v>30</v>
      </c>
      <c r="D74" t="s">
        <v>15</v>
      </c>
      <c r="E74" t="s">
        <v>16</v>
      </c>
      <c r="F74" t="s">
        <v>17</v>
      </c>
      <c r="G74">
        <v>4</v>
      </c>
      <c r="H74">
        <v>15000</v>
      </c>
      <c r="I74">
        <v>11000</v>
      </c>
      <c r="J74">
        <v>60000</v>
      </c>
      <c r="K74">
        <v>44000</v>
      </c>
      <c r="L74">
        <v>16000</v>
      </c>
    </row>
    <row r="75" spans="1:12" x14ac:dyDescent="0.3">
      <c r="A75" t="s">
        <v>174</v>
      </c>
      <c r="B75" t="s">
        <v>175</v>
      </c>
      <c r="C75" t="s">
        <v>42</v>
      </c>
      <c r="D75" t="s">
        <v>26</v>
      </c>
      <c r="E75" t="s">
        <v>16</v>
      </c>
      <c r="F75" t="s">
        <v>17</v>
      </c>
      <c r="G75">
        <v>6</v>
      </c>
      <c r="H75">
        <v>15000</v>
      </c>
      <c r="I75">
        <v>11000</v>
      </c>
      <c r="J75">
        <v>90000</v>
      </c>
      <c r="K75">
        <v>66000</v>
      </c>
      <c r="L75">
        <v>24000</v>
      </c>
    </row>
    <row r="76" spans="1:12" x14ac:dyDescent="0.3">
      <c r="A76" t="s">
        <v>176</v>
      </c>
      <c r="B76" t="s">
        <v>177</v>
      </c>
      <c r="C76" t="s">
        <v>39</v>
      </c>
      <c r="D76" t="s">
        <v>15</v>
      </c>
      <c r="E76" t="s">
        <v>21</v>
      </c>
      <c r="F76" t="s">
        <v>22</v>
      </c>
      <c r="G76">
        <v>9</v>
      </c>
      <c r="H76">
        <v>2000</v>
      </c>
      <c r="I76">
        <v>1200</v>
      </c>
      <c r="J76">
        <v>18000</v>
      </c>
      <c r="K76">
        <v>10800</v>
      </c>
      <c r="L76">
        <v>7200</v>
      </c>
    </row>
    <row r="77" spans="1:12" x14ac:dyDescent="0.3">
      <c r="A77" t="s">
        <v>178</v>
      </c>
      <c r="B77" t="s">
        <v>179</v>
      </c>
      <c r="C77" t="s">
        <v>42</v>
      </c>
      <c r="D77" t="s">
        <v>31</v>
      </c>
      <c r="E77" t="s">
        <v>46</v>
      </c>
      <c r="F77" t="s">
        <v>17</v>
      </c>
      <c r="G77">
        <v>8</v>
      </c>
      <c r="H77">
        <v>20000</v>
      </c>
      <c r="I77">
        <v>15000</v>
      </c>
      <c r="J77">
        <v>160000</v>
      </c>
      <c r="K77">
        <v>120000</v>
      </c>
      <c r="L77">
        <v>40000</v>
      </c>
    </row>
    <row r="78" spans="1:12" x14ac:dyDescent="0.3">
      <c r="A78" t="s">
        <v>180</v>
      </c>
      <c r="B78" t="s">
        <v>181</v>
      </c>
      <c r="C78" t="s">
        <v>90</v>
      </c>
      <c r="D78" t="s">
        <v>31</v>
      </c>
      <c r="E78" t="s">
        <v>62</v>
      </c>
      <c r="F78" t="s">
        <v>17</v>
      </c>
      <c r="G78">
        <v>6</v>
      </c>
      <c r="H78">
        <v>50000</v>
      </c>
      <c r="I78">
        <v>40000</v>
      </c>
      <c r="J78">
        <v>300000</v>
      </c>
      <c r="K78">
        <v>240000</v>
      </c>
      <c r="L78">
        <v>60000</v>
      </c>
    </row>
    <row r="79" spans="1:12" x14ac:dyDescent="0.3">
      <c r="A79" t="s">
        <v>182</v>
      </c>
      <c r="B79" t="s">
        <v>144</v>
      </c>
      <c r="C79" t="s">
        <v>71</v>
      </c>
      <c r="D79" t="s">
        <v>31</v>
      </c>
      <c r="E79" t="s">
        <v>46</v>
      </c>
      <c r="F79" t="s">
        <v>17</v>
      </c>
      <c r="G79">
        <v>10</v>
      </c>
      <c r="H79">
        <v>20000</v>
      </c>
      <c r="I79">
        <v>15000</v>
      </c>
      <c r="J79">
        <v>200000</v>
      </c>
      <c r="K79">
        <v>150000</v>
      </c>
      <c r="L79">
        <v>50000</v>
      </c>
    </row>
    <row r="80" spans="1:12" x14ac:dyDescent="0.3">
      <c r="A80" t="s">
        <v>183</v>
      </c>
      <c r="B80" t="s">
        <v>184</v>
      </c>
      <c r="C80" t="s">
        <v>42</v>
      </c>
      <c r="D80" t="s">
        <v>26</v>
      </c>
      <c r="E80" t="s">
        <v>16</v>
      </c>
      <c r="F80" t="s">
        <v>17</v>
      </c>
      <c r="G80">
        <v>10</v>
      </c>
      <c r="H80">
        <v>15000</v>
      </c>
      <c r="I80">
        <v>11000</v>
      </c>
      <c r="J80">
        <v>150000</v>
      </c>
      <c r="K80">
        <v>110000</v>
      </c>
      <c r="L80">
        <v>40000</v>
      </c>
    </row>
    <row r="81" spans="1:12" x14ac:dyDescent="0.3">
      <c r="A81" t="s">
        <v>185</v>
      </c>
      <c r="B81" t="s">
        <v>186</v>
      </c>
      <c r="C81" t="s">
        <v>51</v>
      </c>
      <c r="D81" t="s">
        <v>36</v>
      </c>
      <c r="E81" t="s">
        <v>46</v>
      </c>
      <c r="F81" t="s">
        <v>17</v>
      </c>
      <c r="G81">
        <v>10</v>
      </c>
      <c r="H81">
        <v>20000</v>
      </c>
      <c r="I81">
        <v>15000</v>
      </c>
      <c r="J81">
        <v>200000</v>
      </c>
      <c r="K81">
        <v>150000</v>
      </c>
      <c r="L81">
        <v>50000</v>
      </c>
    </row>
    <row r="82" spans="1:12" x14ac:dyDescent="0.3">
      <c r="A82" t="s">
        <v>187</v>
      </c>
      <c r="B82" t="s">
        <v>188</v>
      </c>
      <c r="C82" t="s">
        <v>56</v>
      </c>
      <c r="D82" t="s">
        <v>15</v>
      </c>
      <c r="E82" t="s">
        <v>62</v>
      </c>
      <c r="F82" t="s">
        <v>17</v>
      </c>
      <c r="G82">
        <v>8</v>
      </c>
      <c r="H82">
        <v>50000</v>
      </c>
      <c r="I82">
        <v>40000</v>
      </c>
      <c r="J82">
        <v>400000</v>
      </c>
      <c r="K82">
        <v>320000</v>
      </c>
      <c r="L82">
        <v>80000</v>
      </c>
    </row>
    <row r="83" spans="1:12" x14ac:dyDescent="0.3">
      <c r="A83" t="s">
        <v>189</v>
      </c>
      <c r="B83" t="s">
        <v>73</v>
      </c>
      <c r="C83" t="s">
        <v>51</v>
      </c>
      <c r="D83" t="s">
        <v>15</v>
      </c>
      <c r="E83" t="s">
        <v>46</v>
      </c>
      <c r="F83" t="s">
        <v>17</v>
      </c>
      <c r="G83">
        <v>8</v>
      </c>
      <c r="H83">
        <v>20000</v>
      </c>
      <c r="I83">
        <v>15000</v>
      </c>
      <c r="J83">
        <v>160000</v>
      </c>
      <c r="K83">
        <v>120000</v>
      </c>
      <c r="L83">
        <v>40000</v>
      </c>
    </row>
    <row r="84" spans="1:12" x14ac:dyDescent="0.3">
      <c r="A84" t="s">
        <v>190</v>
      </c>
      <c r="B84" t="s">
        <v>191</v>
      </c>
      <c r="C84" t="s">
        <v>56</v>
      </c>
      <c r="D84" t="s">
        <v>15</v>
      </c>
      <c r="E84" t="s">
        <v>21</v>
      </c>
      <c r="F84" t="s">
        <v>22</v>
      </c>
      <c r="G84">
        <v>5</v>
      </c>
      <c r="H84">
        <v>2000</v>
      </c>
      <c r="I84">
        <v>1200</v>
      </c>
      <c r="J84">
        <v>10000</v>
      </c>
      <c r="K84">
        <v>6000</v>
      </c>
      <c r="L84">
        <v>4000</v>
      </c>
    </row>
    <row r="85" spans="1:12" x14ac:dyDescent="0.3">
      <c r="A85" t="s">
        <v>192</v>
      </c>
      <c r="B85" t="s">
        <v>83</v>
      </c>
      <c r="C85" t="s">
        <v>30</v>
      </c>
      <c r="D85" t="s">
        <v>26</v>
      </c>
      <c r="E85" t="s">
        <v>46</v>
      </c>
      <c r="F85" t="s">
        <v>17</v>
      </c>
      <c r="G85">
        <v>4</v>
      </c>
      <c r="H85">
        <v>20000</v>
      </c>
      <c r="I85">
        <v>15000</v>
      </c>
      <c r="J85">
        <v>80000</v>
      </c>
      <c r="K85">
        <v>60000</v>
      </c>
      <c r="L85">
        <v>20000</v>
      </c>
    </row>
    <row r="86" spans="1:12" x14ac:dyDescent="0.3">
      <c r="A86" t="s">
        <v>193</v>
      </c>
      <c r="B86" t="s">
        <v>194</v>
      </c>
      <c r="C86" t="s">
        <v>90</v>
      </c>
      <c r="D86" t="s">
        <v>26</v>
      </c>
      <c r="E86" t="s">
        <v>16</v>
      </c>
      <c r="F86" t="s">
        <v>17</v>
      </c>
      <c r="G86">
        <v>7</v>
      </c>
      <c r="H86">
        <v>15000</v>
      </c>
      <c r="I86">
        <v>11000</v>
      </c>
      <c r="J86">
        <v>105000</v>
      </c>
      <c r="K86">
        <v>77000</v>
      </c>
      <c r="L86">
        <v>28000</v>
      </c>
    </row>
    <row r="87" spans="1:12" x14ac:dyDescent="0.3">
      <c r="A87" t="s">
        <v>195</v>
      </c>
      <c r="B87" t="s">
        <v>33</v>
      </c>
      <c r="C87" t="s">
        <v>14</v>
      </c>
      <c r="D87" t="s">
        <v>36</v>
      </c>
      <c r="E87" t="s">
        <v>16</v>
      </c>
      <c r="F87" t="s">
        <v>17</v>
      </c>
      <c r="G87">
        <v>7</v>
      </c>
      <c r="H87">
        <v>15000</v>
      </c>
      <c r="I87">
        <v>11000</v>
      </c>
      <c r="J87">
        <v>105000</v>
      </c>
      <c r="K87">
        <v>77000</v>
      </c>
      <c r="L87">
        <v>28000</v>
      </c>
    </row>
    <row r="88" spans="1:12" x14ac:dyDescent="0.3">
      <c r="A88" t="s">
        <v>196</v>
      </c>
      <c r="B88" t="s">
        <v>197</v>
      </c>
      <c r="C88" t="s">
        <v>42</v>
      </c>
      <c r="D88" t="s">
        <v>26</v>
      </c>
      <c r="E88" t="s">
        <v>27</v>
      </c>
      <c r="F88" t="s">
        <v>17</v>
      </c>
      <c r="G88">
        <v>2</v>
      </c>
      <c r="H88">
        <v>30000</v>
      </c>
      <c r="I88">
        <v>24000</v>
      </c>
      <c r="J88">
        <v>60000</v>
      </c>
      <c r="K88">
        <v>48000</v>
      </c>
      <c r="L88">
        <v>12000</v>
      </c>
    </row>
    <row r="89" spans="1:12" x14ac:dyDescent="0.3">
      <c r="A89" t="s">
        <v>198</v>
      </c>
      <c r="B89" t="s">
        <v>199</v>
      </c>
      <c r="C89" t="s">
        <v>39</v>
      </c>
      <c r="D89" t="s">
        <v>15</v>
      </c>
      <c r="E89" t="s">
        <v>62</v>
      </c>
      <c r="F89" t="s">
        <v>17</v>
      </c>
      <c r="G89">
        <v>10</v>
      </c>
      <c r="H89">
        <v>50000</v>
      </c>
      <c r="I89">
        <v>40000</v>
      </c>
      <c r="J89">
        <v>500000</v>
      </c>
      <c r="K89">
        <v>400000</v>
      </c>
      <c r="L89">
        <v>100000</v>
      </c>
    </row>
    <row r="90" spans="1:12" x14ac:dyDescent="0.3">
      <c r="A90" t="s">
        <v>200</v>
      </c>
      <c r="B90" t="s">
        <v>201</v>
      </c>
      <c r="C90" t="s">
        <v>39</v>
      </c>
      <c r="D90" t="s">
        <v>26</v>
      </c>
      <c r="E90" t="s">
        <v>21</v>
      </c>
      <c r="F90" t="s">
        <v>22</v>
      </c>
      <c r="G90">
        <v>2</v>
      </c>
      <c r="H90">
        <v>2000</v>
      </c>
      <c r="I90">
        <v>1200</v>
      </c>
      <c r="J90">
        <v>4000</v>
      </c>
      <c r="K90">
        <v>2400</v>
      </c>
      <c r="L90">
        <v>1600</v>
      </c>
    </row>
    <row r="91" spans="1:12" x14ac:dyDescent="0.3">
      <c r="A91" t="s">
        <v>202</v>
      </c>
      <c r="B91" t="s">
        <v>203</v>
      </c>
      <c r="C91" t="s">
        <v>71</v>
      </c>
      <c r="D91" t="s">
        <v>36</v>
      </c>
      <c r="E91" t="s">
        <v>46</v>
      </c>
      <c r="F91" t="s">
        <v>17</v>
      </c>
      <c r="G91">
        <v>3</v>
      </c>
      <c r="H91">
        <v>20000</v>
      </c>
      <c r="I91">
        <v>15000</v>
      </c>
      <c r="J91">
        <v>60000</v>
      </c>
      <c r="K91">
        <v>45000</v>
      </c>
      <c r="L91">
        <v>15000</v>
      </c>
    </row>
    <row r="92" spans="1:12" x14ac:dyDescent="0.3">
      <c r="A92" t="s">
        <v>204</v>
      </c>
      <c r="B92" t="s">
        <v>205</v>
      </c>
      <c r="C92" t="s">
        <v>56</v>
      </c>
      <c r="D92" t="s">
        <v>15</v>
      </c>
      <c r="E92" t="s">
        <v>27</v>
      </c>
      <c r="F92" t="s">
        <v>17</v>
      </c>
      <c r="G92">
        <v>3</v>
      </c>
      <c r="H92">
        <v>30000</v>
      </c>
      <c r="I92">
        <v>24000</v>
      </c>
      <c r="J92">
        <v>90000</v>
      </c>
      <c r="K92">
        <v>72000</v>
      </c>
      <c r="L92">
        <v>18000</v>
      </c>
    </row>
    <row r="93" spans="1:12" x14ac:dyDescent="0.3">
      <c r="A93" t="s">
        <v>206</v>
      </c>
      <c r="B93" t="s">
        <v>173</v>
      </c>
      <c r="C93" t="s">
        <v>30</v>
      </c>
      <c r="D93" t="s">
        <v>15</v>
      </c>
      <c r="E93" t="s">
        <v>16</v>
      </c>
      <c r="F93" t="s">
        <v>17</v>
      </c>
      <c r="G93">
        <v>6</v>
      </c>
      <c r="H93">
        <v>15000</v>
      </c>
      <c r="I93">
        <v>11000</v>
      </c>
      <c r="J93">
        <v>90000</v>
      </c>
      <c r="K93">
        <v>66000</v>
      </c>
      <c r="L93">
        <v>24000</v>
      </c>
    </row>
    <row r="94" spans="1:12" x14ac:dyDescent="0.3">
      <c r="A94" t="s">
        <v>207</v>
      </c>
      <c r="B94" t="s">
        <v>148</v>
      </c>
      <c r="C94" t="s">
        <v>25</v>
      </c>
      <c r="D94" t="s">
        <v>26</v>
      </c>
      <c r="E94" t="s">
        <v>46</v>
      </c>
      <c r="F94" t="s">
        <v>17</v>
      </c>
      <c r="G94">
        <v>10</v>
      </c>
      <c r="H94">
        <v>20000</v>
      </c>
      <c r="I94">
        <v>15000</v>
      </c>
      <c r="J94">
        <v>200000</v>
      </c>
      <c r="K94">
        <v>150000</v>
      </c>
      <c r="L94">
        <v>50000</v>
      </c>
    </row>
    <row r="95" spans="1:12" x14ac:dyDescent="0.3">
      <c r="A95" t="s">
        <v>208</v>
      </c>
      <c r="B95" t="s">
        <v>120</v>
      </c>
      <c r="C95" t="s">
        <v>121</v>
      </c>
      <c r="D95" t="s">
        <v>26</v>
      </c>
      <c r="E95" t="s">
        <v>16</v>
      </c>
      <c r="F95" t="s">
        <v>17</v>
      </c>
      <c r="G95">
        <v>9</v>
      </c>
      <c r="H95">
        <v>15000</v>
      </c>
      <c r="I95">
        <v>11000</v>
      </c>
      <c r="J95">
        <v>135000</v>
      </c>
      <c r="K95">
        <v>99000</v>
      </c>
      <c r="L95">
        <v>36000</v>
      </c>
    </row>
    <row r="96" spans="1:12" x14ac:dyDescent="0.3">
      <c r="A96" t="s">
        <v>209</v>
      </c>
      <c r="B96" t="s">
        <v>210</v>
      </c>
      <c r="C96" t="s">
        <v>90</v>
      </c>
      <c r="D96" t="s">
        <v>31</v>
      </c>
      <c r="E96" t="s">
        <v>62</v>
      </c>
      <c r="F96" t="s">
        <v>17</v>
      </c>
      <c r="G96">
        <v>2</v>
      </c>
      <c r="H96">
        <v>50000</v>
      </c>
      <c r="I96">
        <v>40000</v>
      </c>
      <c r="J96">
        <v>100000</v>
      </c>
      <c r="K96">
        <v>80000</v>
      </c>
      <c r="L96">
        <v>20000</v>
      </c>
    </row>
    <row r="97" spans="1:12" x14ac:dyDescent="0.3">
      <c r="A97" t="s">
        <v>211</v>
      </c>
      <c r="B97" t="s">
        <v>212</v>
      </c>
      <c r="C97" t="s">
        <v>30</v>
      </c>
      <c r="D97" t="s">
        <v>26</v>
      </c>
      <c r="E97" t="s">
        <v>21</v>
      </c>
      <c r="F97" t="s">
        <v>22</v>
      </c>
      <c r="G97">
        <v>8</v>
      </c>
      <c r="H97">
        <v>2000</v>
      </c>
      <c r="I97">
        <v>1200</v>
      </c>
      <c r="J97">
        <v>16000</v>
      </c>
      <c r="K97">
        <v>9600</v>
      </c>
      <c r="L97">
        <v>6400</v>
      </c>
    </row>
    <row r="98" spans="1:12" x14ac:dyDescent="0.3">
      <c r="A98" t="s">
        <v>213</v>
      </c>
      <c r="B98" t="s">
        <v>214</v>
      </c>
      <c r="C98" t="s">
        <v>71</v>
      </c>
      <c r="D98" t="s">
        <v>26</v>
      </c>
      <c r="E98" t="s">
        <v>46</v>
      </c>
      <c r="F98" t="s">
        <v>17</v>
      </c>
      <c r="G98">
        <v>10</v>
      </c>
      <c r="H98">
        <v>20000</v>
      </c>
      <c r="I98">
        <v>15000</v>
      </c>
      <c r="J98">
        <v>200000</v>
      </c>
      <c r="K98">
        <v>150000</v>
      </c>
      <c r="L98">
        <v>50000</v>
      </c>
    </row>
    <row r="99" spans="1:12" x14ac:dyDescent="0.3">
      <c r="A99" t="s">
        <v>215</v>
      </c>
      <c r="B99" t="s">
        <v>75</v>
      </c>
      <c r="C99" t="s">
        <v>20</v>
      </c>
      <c r="D99" t="s">
        <v>26</v>
      </c>
      <c r="E99" t="s">
        <v>27</v>
      </c>
      <c r="F99" t="s">
        <v>17</v>
      </c>
      <c r="G99">
        <v>1</v>
      </c>
      <c r="H99">
        <v>30000</v>
      </c>
      <c r="I99">
        <v>24000</v>
      </c>
      <c r="J99">
        <v>30000</v>
      </c>
      <c r="K99">
        <v>24000</v>
      </c>
      <c r="L99">
        <v>6000</v>
      </c>
    </row>
    <row r="100" spans="1:12" x14ac:dyDescent="0.3">
      <c r="A100" t="s">
        <v>216</v>
      </c>
      <c r="B100" t="s">
        <v>217</v>
      </c>
      <c r="C100" t="s">
        <v>25</v>
      </c>
      <c r="D100" t="s">
        <v>31</v>
      </c>
      <c r="E100" t="s">
        <v>21</v>
      </c>
      <c r="F100" t="s">
        <v>22</v>
      </c>
      <c r="G100">
        <v>4</v>
      </c>
      <c r="H100">
        <v>2000</v>
      </c>
      <c r="I100">
        <v>1200</v>
      </c>
      <c r="J100">
        <v>8000</v>
      </c>
      <c r="K100">
        <v>4800</v>
      </c>
      <c r="L100">
        <v>3200</v>
      </c>
    </row>
    <row r="101" spans="1:12" x14ac:dyDescent="0.3">
      <c r="A101" t="s">
        <v>218</v>
      </c>
      <c r="B101" t="s">
        <v>169</v>
      </c>
      <c r="C101" t="s">
        <v>121</v>
      </c>
      <c r="D101" t="s">
        <v>36</v>
      </c>
      <c r="E101" t="s">
        <v>21</v>
      </c>
      <c r="F101" t="s">
        <v>22</v>
      </c>
      <c r="G101">
        <v>9</v>
      </c>
      <c r="H101">
        <v>2000</v>
      </c>
      <c r="I101">
        <v>1200</v>
      </c>
      <c r="J101">
        <v>18000</v>
      </c>
      <c r="K101">
        <v>10800</v>
      </c>
      <c r="L101">
        <v>7200</v>
      </c>
    </row>
    <row r="102" spans="1:12" x14ac:dyDescent="0.3">
      <c r="A102" t="s">
        <v>219</v>
      </c>
      <c r="B102" t="s">
        <v>220</v>
      </c>
      <c r="C102" t="s">
        <v>39</v>
      </c>
      <c r="D102" t="s">
        <v>15</v>
      </c>
      <c r="E102" t="s">
        <v>46</v>
      </c>
      <c r="F102" t="s">
        <v>17</v>
      </c>
      <c r="G102">
        <v>6</v>
      </c>
      <c r="H102">
        <v>20000</v>
      </c>
      <c r="I102">
        <v>15000</v>
      </c>
      <c r="J102">
        <v>120000</v>
      </c>
      <c r="K102">
        <v>90000</v>
      </c>
      <c r="L102">
        <v>30000</v>
      </c>
    </row>
    <row r="103" spans="1:12" x14ac:dyDescent="0.3">
      <c r="A103" t="s">
        <v>221</v>
      </c>
      <c r="B103" t="s">
        <v>222</v>
      </c>
      <c r="C103" t="s">
        <v>90</v>
      </c>
      <c r="D103" t="s">
        <v>31</v>
      </c>
      <c r="E103" t="s">
        <v>46</v>
      </c>
      <c r="F103" t="s">
        <v>17</v>
      </c>
      <c r="G103">
        <v>8</v>
      </c>
      <c r="H103">
        <v>20000</v>
      </c>
      <c r="I103">
        <v>15000</v>
      </c>
      <c r="J103">
        <v>160000</v>
      </c>
      <c r="K103">
        <v>120000</v>
      </c>
      <c r="L103">
        <v>40000</v>
      </c>
    </row>
    <row r="104" spans="1:12" x14ac:dyDescent="0.3">
      <c r="A104" t="s">
        <v>223</v>
      </c>
      <c r="B104" t="s">
        <v>224</v>
      </c>
      <c r="C104" t="s">
        <v>71</v>
      </c>
      <c r="D104" t="s">
        <v>31</v>
      </c>
      <c r="E104" t="s">
        <v>46</v>
      </c>
      <c r="F104" t="s">
        <v>17</v>
      </c>
      <c r="G104">
        <v>3</v>
      </c>
      <c r="H104">
        <v>20000</v>
      </c>
      <c r="I104">
        <v>15000</v>
      </c>
      <c r="J104">
        <v>60000</v>
      </c>
      <c r="K104">
        <v>45000</v>
      </c>
      <c r="L104">
        <v>15000</v>
      </c>
    </row>
    <row r="105" spans="1:12" x14ac:dyDescent="0.3">
      <c r="A105" t="s">
        <v>225</v>
      </c>
      <c r="B105" t="s">
        <v>226</v>
      </c>
      <c r="C105" t="s">
        <v>30</v>
      </c>
      <c r="D105" t="s">
        <v>31</v>
      </c>
      <c r="E105" t="s">
        <v>46</v>
      </c>
      <c r="F105" t="s">
        <v>17</v>
      </c>
      <c r="G105">
        <v>4</v>
      </c>
      <c r="H105">
        <v>20000</v>
      </c>
      <c r="I105">
        <v>15000</v>
      </c>
      <c r="J105">
        <v>80000</v>
      </c>
      <c r="K105">
        <v>60000</v>
      </c>
      <c r="L105">
        <v>20000</v>
      </c>
    </row>
    <row r="106" spans="1:12" x14ac:dyDescent="0.3">
      <c r="A106" t="s">
        <v>227</v>
      </c>
      <c r="B106" t="s">
        <v>228</v>
      </c>
      <c r="C106" t="s">
        <v>51</v>
      </c>
      <c r="D106" t="s">
        <v>15</v>
      </c>
      <c r="E106" t="s">
        <v>46</v>
      </c>
      <c r="F106" t="s">
        <v>17</v>
      </c>
      <c r="G106">
        <v>10</v>
      </c>
      <c r="H106">
        <v>20000</v>
      </c>
      <c r="I106">
        <v>15000</v>
      </c>
      <c r="J106">
        <v>200000</v>
      </c>
      <c r="K106">
        <v>150000</v>
      </c>
      <c r="L106">
        <v>50000</v>
      </c>
    </row>
    <row r="107" spans="1:12" x14ac:dyDescent="0.3">
      <c r="A107" t="s">
        <v>229</v>
      </c>
      <c r="B107" t="s">
        <v>197</v>
      </c>
      <c r="C107" t="s">
        <v>42</v>
      </c>
      <c r="D107" t="s">
        <v>31</v>
      </c>
      <c r="E107" t="s">
        <v>46</v>
      </c>
      <c r="F107" t="s">
        <v>17</v>
      </c>
      <c r="G107">
        <v>8</v>
      </c>
      <c r="H107">
        <v>20000</v>
      </c>
      <c r="I107">
        <v>15000</v>
      </c>
      <c r="J107">
        <v>160000</v>
      </c>
      <c r="K107">
        <v>120000</v>
      </c>
      <c r="L107">
        <v>40000</v>
      </c>
    </row>
    <row r="108" spans="1:12" x14ac:dyDescent="0.3">
      <c r="A108" t="s">
        <v>230</v>
      </c>
      <c r="B108" t="s">
        <v>231</v>
      </c>
      <c r="C108" t="s">
        <v>30</v>
      </c>
      <c r="D108" t="s">
        <v>31</v>
      </c>
      <c r="E108" t="s">
        <v>21</v>
      </c>
      <c r="F108" t="s">
        <v>22</v>
      </c>
      <c r="G108">
        <v>10</v>
      </c>
      <c r="H108">
        <v>2000</v>
      </c>
      <c r="I108">
        <v>1200</v>
      </c>
      <c r="J108">
        <v>20000</v>
      </c>
      <c r="K108">
        <v>12000</v>
      </c>
      <c r="L108">
        <v>8000</v>
      </c>
    </row>
    <row r="109" spans="1:12" x14ac:dyDescent="0.3">
      <c r="A109" t="s">
        <v>232</v>
      </c>
      <c r="B109" t="s">
        <v>233</v>
      </c>
      <c r="C109" t="s">
        <v>14</v>
      </c>
      <c r="D109" t="s">
        <v>31</v>
      </c>
      <c r="E109" t="s">
        <v>27</v>
      </c>
      <c r="F109" t="s">
        <v>17</v>
      </c>
      <c r="G109">
        <v>1</v>
      </c>
      <c r="H109">
        <v>30000</v>
      </c>
      <c r="I109">
        <v>24000</v>
      </c>
      <c r="J109">
        <v>30000</v>
      </c>
      <c r="K109">
        <v>24000</v>
      </c>
      <c r="L109">
        <v>6000</v>
      </c>
    </row>
    <row r="110" spans="1:12" x14ac:dyDescent="0.3">
      <c r="A110" t="s">
        <v>234</v>
      </c>
      <c r="B110" t="s">
        <v>235</v>
      </c>
      <c r="C110" t="s">
        <v>121</v>
      </c>
      <c r="D110" t="s">
        <v>26</v>
      </c>
      <c r="E110" t="s">
        <v>46</v>
      </c>
      <c r="F110" t="s">
        <v>17</v>
      </c>
      <c r="G110">
        <v>1</v>
      </c>
      <c r="H110">
        <v>20000</v>
      </c>
      <c r="I110">
        <v>15000</v>
      </c>
      <c r="J110">
        <v>20000</v>
      </c>
      <c r="K110">
        <v>15000</v>
      </c>
      <c r="L110">
        <v>5000</v>
      </c>
    </row>
    <row r="111" spans="1:12" x14ac:dyDescent="0.3">
      <c r="A111" t="s">
        <v>236</v>
      </c>
      <c r="B111" t="s">
        <v>237</v>
      </c>
      <c r="C111" t="s">
        <v>121</v>
      </c>
      <c r="D111" t="s">
        <v>26</v>
      </c>
      <c r="E111" t="s">
        <v>16</v>
      </c>
      <c r="F111" t="s">
        <v>17</v>
      </c>
      <c r="G111">
        <v>4</v>
      </c>
      <c r="H111">
        <v>15000</v>
      </c>
      <c r="I111">
        <v>11000</v>
      </c>
      <c r="J111">
        <v>60000</v>
      </c>
      <c r="K111">
        <v>44000</v>
      </c>
      <c r="L111">
        <v>16000</v>
      </c>
    </row>
    <row r="112" spans="1:12" x14ac:dyDescent="0.3">
      <c r="A112" t="s">
        <v>238</v>
      </c>
      <c r="B112" t="s">
        <v>70</v>
      </c>
      <c r="C112" t="s">
        <v>71</v>
      </c>
      <c r="D112" t="s">
        <v>31</v>
      </c>
      <c r="E112" t="s">
        <v>62</v>
      </c>
      <c r="F112" t="s">
        <v>17</v>
      </c>
      <c r="G112">
        <v>6</v>
      </c>
      <c r="H112">
        <v>50000</v>
      </c>
      <c r="I112">
        <v>40000</v>
      </c>
      <c r="J112">
        <v>300000</v>
      </c>
      <c r="K112">
        <v>240000</v>
      </c>
      <c r="L112">
        <v>60000</v>
      </c>
    </row>
    <row r="113" spans="1:12" x14ac:dyDescent="0.3">
      <c r="A113" t="s">
        <v>239</v>
      </c>
      <c r="B113" t="s">
        <v>240</v>
      </c>
      <c r="C113" t="s">
        <v>90</v>
      </c>
      <c r="D113" t="s">
        <v>15</v>
      </c>
      <c r="E113" t="s">
        <v>21</v>
      </c>
      <c r="F113" t="s">
        <v>22</v>
      </c>
      <c r="G113">
        <v>9</v>
      </c>
      <c r="H113">
        <v>2000</v>
      </c>
      <c r="I113">
        <v>1200</v>
      </c>
      <c r="J113">
        <v>18000</v>
      </c>
      <c r="K113">
        <v>10800</v>
      </c>
      <c r="L113">
        <v>7200</v>
      </c>
    </row>
    <row r="114" spans="1:12" x14ac:dyDescent="0.3">
      <c r="A114" t="s">
        <v>241</v>
      </c>
      <c r="B114" t="s">
        <v>242</v>
      </c>
      <c r="C114" t="s">
        <v>30</v>
      </c>
      <c r="D114" t="s">
        <v>36</v>
      </c>
      <c r="E114" t="s">
        <v>16</v>
      </c>
      <c r="F114" t="s">
        <v>17</v>
      </c>
      <c r="G114">
        <v>5</v>
      </c>
      <c r="H114">
        <v>15000</v>
      </c>
      <c r="I114">
        <v>11000</v>
      </c>
      <c r="J114">
        <v>75000</v>
      </c>
      <c r="K114">
        <v>55000</v>
      </c>
      <c r="L114">
        <v>20000</v>
      </c>
    </row>
    <row r="115" spans="1:12" x14ac:dyDescent="0.3">
      <c r="A115" t="s">
        <v>243</v>
      </c>
      <c r="B115" t="s">
        <v>109</v>
      </c>
      <c r="C115" t="s">
        <v>51</v>
      </c>
      <c r="D115" t="s">
        <v>26</v>
      </c>
      <c r="E115" t="s">
        <v>21</v>
      </c>
      <c r="F115" t="s">
        <v>22</v>
      </c>
      <c r="G115">
        <v>2</v>
      </c>
      <c r="H115">
        <v>2000</v>
      </c>
      <c r="I115">
        <v>1200</v>
      </c>
      <c r="J115">
        <v>4000</v>
      </c>
      <c r="K115">
        <v>2400</v>
      </c>
      <c r="L115">
        <v>1600</v>
      </c>
    </row>
    <row r="116" spans="1:12" x14ac:dyDescent="0.3">
      <c r="A116" t="s">
        <v>244</v>
      </c>
      <c r="B116" t="s">
        <v>205</v>
      </c>
      <c r="C116" t="s">
        <v>56</v>
      </c>
      <c r="D116" t="s">
        <v>31</v>
      </c>
      <c r="E116" t="s">
        <v>16</v>
      </c>
      <c r="F116" t="s">
        <v>17</v>
      </c>
      <c r="G116">
        <v>8</v>
      </c>
      <c r="H116">
        <v>15000</v>
      </c>
      <c r="I116">
        <v>11000</v>
      </c>
      <c r="J116">
        <v>120000</v>
      </c>
      <c r="K116">
        <v>88000</v>
      </c>
      <c r="L116">
        <v>32000</v>
      </c>
    </row>
    <row r="117" spans="1:12" x14ac:dyDescent="0.3">
      <c r="A117" t="s">
        <v>245</v>
      </c>
      <c r="B117" t="s">
        <v>118</v>
      </c>
      <c r="C117" t="s">
        <v>25</v>
      </c>
      <c r="D117" t="s">
        <v>15</v>
      </c>
      <c r="E117" t="s">
        <v>21</v>
      </c>
      <c r="F117" t="s">
        <v>22</v>
      </c>
      <c r="G117">
        <v>7</v>
      </c>
      <c r="H117">
        <v>2000</v>
      </c>
      <c r="I117">
        <v>1200</v>
      </c>
      <c r="J117">
        <v>14000</v>
      </c>
      <c r="K117">
        <v>8400</v>
      </c>
      <c r="L117">
        <v>5600</v>
      </c>
    </row>
    <row r="118" spans="1:12" x14ac:dyDescent="0.3">
      <c r="A118" t="s">
        <v>246</v>
      </c>
      <c r="B118" t="s">
        <v>222</v>
      </c>
      <c r="C118" t="s">
        <v>90</v>
      </c>
      <c r="D118" t="s">
        <v>31</v>
      </c>
      <c r="E118" t="s">
        <v>16</v>
      </c>
      <c r="F118" t="s">
        <v>17</v>
      </c>
      <c r="G118">
        <v>5</v>
      </c>
      <c r="H118">
        <v>15000</v>
      </c>
      <c r="I118">
        <v>11000</v>
      </c>
      <c r="J118">
        <v>75000</v>
      </c>
      <c r="K118">
        <v>55000</v>
      </c>
      <c r="L118">
        <v>20000</v>
      </c>
    </row>
    <row r="119" spans="1:12" x14ac:dyDescent="0.3">
      <c r="A119" t="s">
        <v>247</v>
      </c>
      <c r="B119" t="s">
        <v>248</v>
      </c>
      <c r="C119" t="s">
        <v>45</v>
      </c>
      <c r="D119" t="s">
        <v>15</v>
      </c>
      <c r="E119" t="s">
        <v>16</v>
      </c>
      <c r="F119" t="s">
        <v>17</v>
      </c>
      <c r="G119">
        <v>6</v>
      </c>
      <c r="H119">
        <v>15000</v>
      </c>
      <c r="I119">
        <v>11000</v>
      </c>
      <c r="J119">
        <v>90000</v>
      </c>
      <c r="K119">
        <v>66000</v>
      </c>
      <c r="L119">
        <v>24000</v>
      </c>
    </row>
    <row r="120" spans="1:12" x14ac:dyDescent="0.3">
      <c r="A120" t="s">
        <v>249</v>
      </c>
      <c r="B120" t="s">
        <v>250</v>
      </c>
      <c r="C120" t="s">
        <v>90</v>
      </c>
      <c r="D120" t="s">
        <v>31</v>
      </c>
      <c r="E120" t="s">
        <v>46</v>
      </c>
      <c r="F120" t="s">
        <v>17</v>
      </c>
      <c r="G120">
        <v>2</v>
      </c>
      <c r="H120">
        <v>20000</v>
      </c>
      <c r="I120">
        <v>15000</v>
      </c>
      <c r="J120">
        <v>40000</v>
      </c>
      <c r="K120">
        <v>30000</v>
      </c>
      <c r="L120">
        <v>10000</v>
      </c>
    </row>
    <row r="121" spans="1:12" x14ac:dyDescent="0.3">
      <c r="A121" t="s">
        <v>251</v>
      </c>
      <c r="B121" t="s">
        <v>252</v>
      </c>
      <c r="C121" t="s">
        <v>42</v>
      </c>
      <c r="D121" t="s">
        <v>26</v>
      </c>
      <c r="E121" t="s">
        <v>21</v>
      </c>
      <c r="F121" t="s">
        <v>22</v>
      </c>
      <c r="G121">
        <v>10</v>
      </c>
      <c r="H121">
        <v>2000</v>
      </c>
      <c r="I121">
        <v>1200</v>
      </c>
      <c r="J121">
        <v>20000</v>
      </c>
      <c r="K121">
        <v>12000</v>
      </c>
      <c r="L121">
        <v>8000</v>
      </c>
    </row>
    <row r="122" spans="1:12" x14ac:dyDescent="0.3">
      <c r="A122" t="s">
        <v>253</v>
      </c>
      <c r="B122" t="s">
        <v>254</v>
      </c>
      <c r="C122" t="s">
        <v>20</v>
      </c>
      <c r="D122" t="s">
        <v>15</v>
      </c>
      <c r="E122" t="s">
        <v>21</v>
      </c>
      <c r="F122" t="s">
        <v>22</v>
      </c>
      <c r="G122">
        <v>6</v>
      </c>
      <c r="H122">
        <v>2000</v>
      </c>
      <c r="I122">
        <v>1200</v>
      </c>
      <c r="J122">
        <v>12000</v>
      </c>
      <c r="K122">
        <v>7200</v>
      </c>
      <c r="L122">
        <v>4800</v>
      </c>
    </row>
    <row r="123" spans="1:12" x14ac:dyDescent="0.3">
      <c r="A123" t="s">
        <v>255</v>
      </c>
      <c r="B123" t="s">
        <v>256</v>
      </c>
      <c r="C123" t="s">
        <v>121</v>
      </c>
      <c r="D123" t="s">
        <v>36</v>
      </c>
      <c r="E123" t="s">
        <v>46</v>
      </c>
      <c r="F123" t="s">
        <v>17</v>
      </c>
      <c r="G123">
        <v>7</v>
      </c>
      <c r="H123">
        <v>20000</v>
      </c>
      <c r="I123">
        <v>15000</v>
      </c>
      <c r="J123">
        <v>140000</v>
      </c>
      <c r="K123">
        <v>105000</v>
      </c>
      <c r="L123">
        <v>35000</v>
      </c>
    </row>
    <row r="124" spans="1:12" x14ac:dyDescent="0.3">
      <c r="A124" t="s">
        <v>257</v>
      </c>
      <c r="B124" t="s">
        <v>258</v>
      </c>
      <c r="C124" t="s">
        <v>45</v>
      </c>
      <c r="D124" t="s">
        <v>15</v>
      </c>
      <c r="E124" t="s">
        <v>27</v>
      </c>
      <c r="F124" t="s">
        <v>17</v>
      </c>
      <c r="G124">
        <v>2</v>
      </c>
      <c r="H124">
        <v>30000</v>
      </c>
      <c r="I124">
        <v>24000</v>
      </c>
      <c r="J124">
        <v>60000</v>
      </c>
      <c r="K124">
        <v>48000</v>
      </c>
      <c r="L124">
        <v>12000</v>
      </c>
    </row>
    <row r="125" spans="1:12" x14ac:dyDescent="0.3">
      <c r="A125" t="s">
        <v>259</v>
      </c>
      <c r="B125" t="s">
        <v>260</v>
      </c>
      <c r="C125" t="s">
        <v>14</v>
      </c>
      <c r="D125" t="s">
        <v>15</v>
      </c>
      <c r="E125" t="s">
        <v>16</v>
      </c>
      <c r="F125" t="s">
        <v>17</v>
      </c>
      <c r="G125">
        <v>9</v>
      </c>
      <c r="H125">
        <v>15000</v>
      </c>
      <c r="I125">
        <v>11000</v>
      </c>
      <c r="J125">
        <v>135000</v>
      </c>
      <c r="K125">
        <v>99000</v>
      </c>
      <c r="L125">
        <v>36000</v>
      </c>
    </row>
    <row r="126" spans="1:12" x14ac:dyDescent="0.3">
      <c r="A126" t="s">
        <v>261</v>
      </c>
      <c r="B126" t="s">
        <v>262</v>
      </c>
      <c r="C126" t="s">
        <v>121</v>
      </c>
      <c r="D126" t="s">
        <v>36</v>
      </c>
      <c r="E126" t="s">
        <v>16</v>
      </c>
      <c r="F126" t="s">
        <v>17</v>
      </c>
      <c r="G126">
        <v>5</v>
      </c>
      <c r="H126">
        <v>15000</v>
      </c>
      <c r="I126">
        <v>11000</v>
      </c>
      <c r="J126">
        <v>75000</v>
      </c>
      <c r="K126">
        <v>55000</v>
      </c>
      <c r="L126">
        <v>20000</v>
      </c>
    </row>
    <row r="127" spans="1:12" x14ac:dyDescent="0.3">
      <c r="A127" t="s">
        <v>263</v>
      </c>
      <c r="B127" t="s">
        <v>264</v>
      </c>
      <c r="C127" t="s">
        <v>121</v>
      </c>
      <c r="D127" t="s">
        <v>26</v>
      </c>
      <c r="E127" t="s">
        <v>27</v>
      </c>
      <c r="F127" t="s">
        <v>17</v>
      </c>
      <c r="G127">
        <v>5</v>
      </c>
      <c r="H127">
        <v>30000</v>
      </c>
      <c r="I127">
        <v>24000</v>
      </c>
      <c r="J127">
        <v>150000</v>
      </c>
      <c r="K127">
        <v>120000</v>
      </c>
      <c r="L127">
        <v>30000</v>
      </c>
    </row>
    <row r="128" spans="1:12" x14ac:dyDescent="0.3">
      <c r="A128" t="s">
        <v>265</v>
      </c>
      <c r="B128" t="s">
        <v>266</v>
      </c>
      <c r="C128" t="s">
        <v>71</v>
      </c>
      <c r="D128" t="s">
        <v>15</v>
      </c>
      <c r="E128" t="s">
        <v>16</v>
      </c>
      <c r="F128" t="s">
        <v>17</v>
      </c>
      <c r="G128">
        <v>10</v>
      </c>
      <c r="H128">
        <v>15000</v>
      </c>
      <c r="I128">
        <v>11000</v>
      </c>
      <c r="J128">
        <v>150000</v>
      </c>
      <c r="K128">
        <v>110000</v>
      </c>
      <c r="L128">
        <v>40000</v>
      </c>
    </row>
    <row r="129" spans="1:12" x14ac:dyDescent="0.3">
      <c r="A129" t="s">
        <v>267</v>
      </c>
      <c r="B129" t="s">
        <v>268</v>
      </c>
      <c r="C129" t="s">
        <v>90</v>
      </c>
      <c r="D129" t="s">
        <v>31</v>
      </c>
      <c r="E129" t="s">
        <v>27</v>
      </c>
      <c r="F129" t="s">
        <v>17</v>
      </c>
      <c r="G129">
        <v>5</v>
      </c>
      <c r="H129">
        <v>30000</v>
      </c>
      <c r="I129">
        <v>24000</v>
      </c>
      <c r="J129">
        <v>150000</v>
      </c>
      <c r="K129">
        <v>120000</v>
      </c>
      <c r="L129">
        <v>30000</v>
      </c>
    </row>
    <row r="130" spans="1:12" x14ac:dyDescent="0.3">
      <c r="A130" t="s">
        <v>269</v>
      </c>
      <c r="B130" t="s">
        <v>270</v>
      </c>
      <c r="C130" t="s">
        <v>51</v>
      </c>
      <c r="D130" t="s">
        <v>15</v>
      </c>
      <c r="E130" t="s">
        <v>62</v>
      </c>
      <c r="F130" t="s">
        <v>17</v>
      </c>
      <c r="G130">
        <v>7</v>
      </c>
      <c r="H130">
        <v>50000</v>
      </c>
      <c r="I130">
        <v>40000</v>
      </c>
      <c r="J130">
        <v>350000</v>
      </c>
      <c r="K130">
        <v>280000</v>
      </c>
      <c r="L130">
        <v>70000</v>
      </c>
    </row>
    <row r="131" spans="1:12" x14ac:dyDescent="0.3">
      <c r="A131" t="s">
        <v>271</v>
      </c>
      <c r="B131" t="s">
        <v>154</v>
      </c>
      <c r="C131" t="s">
        <v>14</v>
      </c>
      <c r="D131" t="s">
        <v>15</v>
      </c>
      <c r="E131" t="s">
        <v>27</v>
      </c>
      <c r="F131" t="s">
        <v>17</v>
      </c>
      <c r="G131">
        <v>3</v>
      </c>
      <c r="H131">
        <v>30000</v>
      </c>
      <c r="I131">
        <v>24000</v>
      </c>
      <c r="J131">
        <v>90000</v>
      </c>
      <c r="K131">
        <v>72000</v>
      </c>
      <c r="L131">
        <v>18000</v>
      </c>
    </row>
    <row r="132" spans="1:12" x14ac:dyDescent="0.3">
      <c r="A132" t="s">
        <v>272</v>
      </c>
      <c r="B132" t="s">
        <v>184</v>
      </c>
      <c r="C132" t="s">
        <v>42</v>
      </c>
      <c r="D132" t="s">
        <v>36</v>
      </c>
      <c r="E132" t="s">
        <v>62</v>
      </c>
      <c r="F132" t="s">
        <v>17</v>
      </c>
      <c r="G132">
        <v>9</v>
      </c>
      <c r="H132">
        <v>50000</v>
      </c>
      <c r="I132">
        <v>40000</v>
      </c>
      <c r="J132">
        <v>450000</v>
      </c>
      <c r="K132">
        <v>360000</v>
      </c>
      <c r="L132">
        <v>90000</v>
      </c>
    </row>
    <row r="133" spans="1:12" x14ac:dyDescent="0.3">
      <c r="A133" t="s">
        <v>273</v>
      </c>
      <c r="B133" t="s">
        <v>274</v>
      </c>
      <c r="C133" t="s">
        <v>14</v>
      </c>
      <c r="D133" t="s">
        <v>15</v>
      </c>
      <c r="E133" t="s">
        <v>16</v>
      </c>
      <c r="F133" t="s">
        <v>17</v>
      </c>
      <c r="G133">
        <v>7</v>
      </c>
      <c r="H133">
        <v>15000</v>
      </c>
      <c r="I133">
        <v>11000</v>
      </c>
      <c r="J133">
        <v>105000</v>
      </c>
      <c r="K133">
        <v>77000</v>
      </c>
      <c r="L133">
        <v>28000</v>
      </c>
    </row>
    <row r="134" spans="1:12" x14ac:dyDescent="0.3">
      <c r="A134" t="s">
        <v>275</v>
      </c>
      <c r="B134" t="s">
        <v>276</v>
      </c>
      <c r="C134" t="s">
        <v>30</v>
      </c>
      <c r="D134" t="s">
        <v>26</v>
      </c>
      <c r="E134" t="s">
        <v>16</v>
      </c>
      <c r="F134" t="s">
        <v>17</v>
      </c>
      <c r="G134">
        <v>1</v>
      </c>
      <c r="H134">
        <v>15000</v>
      </c>
      <c r="I134">
        <v>11000</v>
      </c>
      <c r="J134">
        <v>15000</v>
      </c>
      <c r="K134">
        <v>11000</v>
      </c>
      <c r="L134">
        <v>4000</v>
      </c>
    </row>
    <row r="135" spans="1:12" x14ac:dyDescent="0.3">
      <c r="A135" t="s">
        <v>277</v>
      </c>
      <c r="B135" t="s">
        <v>222</v>
      </c>
      <c r="C135" t="s">
        <v>90</v>
      </c>
      <c r="D135" t="s">
        <v>15</v>
      </c>
      <c r="E135" t="s">
        <v>21</v>
      </c>
      <c r="F135" t="s">
        <v>22</v>
      </c>
      <c r="G135">
        <v>3</v>
      </c>
      <c r="H135">
        <v>2000</v>
      </c>
      <c r="I135">
        <v>1200</v>
      </c>
      <c r="J135">
        <v>6000</v>
      </c>
      <c r="K135">
        <v>3600</v>
      </c>
      <c r="L135">
        <v>2400</v>
      </c>
    </row>
    <row r="136" spans="1:12" x14ac:dyDescent="0.3">
      <c r="A136" t="s">
        <v>278</v>
      </c>
      <c r="B136" t="s">
        <v>279</v>
      </c>
      <c r="C136" t="s">
        <v>14</v>
      </c>
      <c r="D136" t="s">
        <v>36</v>
      </c>
      <c r="E136" t="s">
        <v>27</v>
      </c>
      <c r="F136" t="s">
        <v>17</v>
      </c>
      <c r="G136">
        <v>10</v>
      </c>
      <c r="H136">
        <v>30000</v>
      </c>
      <c r="I136">
        <v>24000</v>
      </c>
      <c r="J136">
        <v>300000</v>
      </c>
      <c r="K136">
        <v>240000</v>
      </c>
      <c r="L136">
        <v>60000</v>
      </c>
    </row>
    <row r="137" spans="1:12" x14ac:dyDescent="0.3">
      <c r="A137" t="s">
        <v>280</v>
      </c>
      <c r="B137" t="s">
        <v>224</v>
      </c>
      <c r="C137" t="s">
        <v>71</v>
      </c>
      <c r="D137" t="s">
        <v>15</v>
      </c>
      <c r="E137" t="s">
        <v>16</v>
      </c>
      <c r="F137" t="s">
        <v>17</v>
      </c>
      <c r="G137">
        <v>6</v>
      </c>
      <c r="H137">
        <v>15000</v>
      </c>
      <c r="I137">
        <v>11000</v>
      </c>
      <c r="J137">
        <v>90000</v>
      </c>
      <c r="K137">
        <v>66000</v>
      </c>
      <c r="L137">
        <v>24000</v>
      </c>
    </row>
    <row r="138" spans="1:12" x14ac:dyDescent="0.3">
      <c r="A138" t="s">
        <v>281</v>
      </c>
      <c r="B138" t="s">
        <v>282</v>
      </c>
      <c r="C138" t="s">
        <v>20</v>
      </c>
      <c r="D138" t="s">
        <v>36</v>
      </c>
      <c r="E138" t="s">
        <v>27</v>
      </c>
      <c r="F138" t="s">
        <v>17</v>
      </c>
      <c r="G138">
        <v>6</v>
      </c>
      <c r="H138">
        <v>30000</v>
      </c>
      <c r="I138">
        <v>24000</v>
      </c>
      <c r="J138">
        <v>180000</v>
      </c>
      <c r="K138">
        <v>144000</v>
      </c>
      <c r="L138">
        <v>36000</v>
      </c>
    </row>
    <row r="139" spans="1:12" x14ac:dyDescent="0.3">
      <c r="A139" t="s">
        <v>283</v>
      </c>
      <c r="B139" t="s">
        <v>98</v>
      </c>
      <c r="C139" t="s">
        <v>39</v>
      </c>
      <c r="D139" t="s">
        <v>36</v>
      </c>
      <c r="E139" t="s">
        <v>27</v>
      </c>
      <c r="F139" t="s">
        <v>17</v>
      </c>
      <c r="G139">
        <v>9</v>
      </c>
      <c r="H139">
        <v>30000</v>
      </c>
      <c r="I139">
        <v>24000</v>
      </c>
      <c r="J139">
        <v>270000</v>
      </c>
      <c r="K139">
        <v>216000</v>
      </c>
      <c r="L139">
        <v>54000</v>
      </c>
    </row>
    <row r="140" spans="1:12" x14ac:dyDescent="0.3">
      <c r="A140" t="s">
        <v>284</v>
      </c>
      <c r="B140" t="s">
        <v>188</v>
      </c>
      <c r="C140" t="s">
        <v>56</v>
      </c>
      <c r="D140" t="s">
        <v>31</v>
      </c>
      <c r="E140" t="s">
        <v>21</v>
      </c>
      <c r="F140" t="s">
        <v>22</v>
      </c>
      <c r="G140">
        <v>3</v>
      </c>
      <c r="H140">
        <v>2000</v>
      </c>
      <c r="I140">
        <v>1200</v>
      </c>
      <c r="J140">
        <v>6000</v>
      </c>
      <c r="K140">
        <v>3600</v>
      </c>
      <c r="L140">
        <v>2400</v>
      </c>
    </row>
    <row r="141" spans="1:12" x14ac:dyDescent="0.3">
      <c r="A141" t="s">
        <v>285</v>
      </c>
      <c r="B141" t="s">
        <v>24</v>
      </c>
      <c r="C141" t="s">
        <v>25</v>
      </c>
      <c r="D141" t="s">
        <v>15</v>
      </c>
      <c r="E141" t="s">
        <v>27</v>
      </c>
      <c r="F141" t="s">
        <v>17</v>
      </c>
      <c r="G141">
        <v>8</v>
      </c>
      <c r="H141">
        <v>30000</v>
      </c>
      <c r="I141">
        <v>24000</v>
      </c>
      <c r="J141">
        <v>240000</v>
      </c>
      <c r="K141">
        <v>192000</v>
      </c>
      <c r="L141">
        <v>48000</v>
      </c>
    </row>
    <row r="142" spans="1:12" x14ac:dyDescent="0.3">
      <c r="A142" t="s">
        <v>286</v>
      </c>
      <c r="B142" t="s">
        <v>237</v>
      </c>
      <c r="C142" t="s">
        <v>121</v>
      </c>
      <c r="D142" t="s">
        <v>26</v>
      </c>
      <c r="E142" t="s">
        <v>46</v>
      </c>
      <c r="F142" t="s">
        <v>17</v>
      </c>
      <c r="G142">
        <v>7</v>
      </c>
      <c r="H142">
        <v>20000</v>
      </c>
      <c r="I142">
        <v>15000</v>
      </c>
      <c r="J142">
        <v>140000</v>
      </c>
      <c r="K142">
        <v>105000</v>
      </c>
      <c r="L142">
        <v>35000</v>
      </c>
    </row>
    <row r="143" spans="1:12" x14ac:dyDescent="0.3">
      <c r="A143" t="s">
        <v>287</v>
      </c>
      <c r="B143" t="s">
        <v>94</v>
      </c>
      <c r="C143" t="s">
        <v>51</v>
      </c>
      <c r="D143" t="s">
        <v>31</v>
      </c>
      <c r="E143" t="s">
        <v>27</v>
      </c>
      <c r="F143" t="s">
        <v>17</v>
      </c>
      <c r="G143">
        <v>7</v>
      </c>
      <c r="H143">
        <v>30000</v>
      </c>
      <c r="I143">
        <v>24000</v>
      </c>
      <c r="J143">
        <v>210000</v>
      </c>
      <c r="K143">
        <v>168000</v>
      </c>
      <c r="L143">
        <v>42000</v>
      </c>
    </row>
    <row r="144" spans="1:12" x14ac:dyDescent="0.3">
      <c r="A144" t="s">
        <v>288</v>
      </c>
      <c r="B144" t="s">
        <v>289</v>
      </c>
      <c r="C144" t="s">
        <v>20</v>
      </c>
      <c r="D144" t="s">
        <v>31</v>
      </c>
      <c r="E144" t="s">
        <v>46</v>
      </c>
      <c r="F144" t="s">
        <v>17</v>
      </c>
      <c r="G144">
        <v>10</v>
      </c>
      <c r="H144">
        <v>20000</v>
      </c>
      <c r="I144">
        <v>15000</v>
      </c>
      <c r="J144">
        <v>200000</v>
      </c>
      <c r="K144">
        <v>150000</v>
      </c>
      <c r="L144">
        <v>50000</v>
      </c>
    </row>
    <row r="145" spans="1:12" x14ac:dyDescent="0.3">
      <c r="A145" t="s">
        <v>290</v>
      </c>
      <c r="B145" t="s">
        <v>146</v>
      </c>
      <c r="C145" t="s">
        <v>121</v>
      </c>
      <c r="D145" t="s">
        <v>15</v>
      </c>
      <c r="E145" t="s">
        <v>62</v>
      </c>
      <c r="F145" t="s">
        <v>17</v>
      </c>
      <c r="G145">
        <v>8</v>
      </c>
      <c r="H145">
        <v>50000</v>
      </c>
      <c r="I145">
        <v>40000</v>
      </c>
      <c r="J145">
        <v>400000</v>
      </c>
      <c r="K145">
        <v>320000</v>
      </c>
      <c r="L145">
        <v>80000</v>
      </c>
    </row>
    <row r="146" spans="1:12" x14ac:dyDescent="0.3">
      <c r="A146" t="s">
        <v>291</v>
      </c>
      <c r="B146" t="s">
        <v>292</v>
      </c>
      <c r="C146" t="s">
        <v>90</v>
      </c>
      <c r="D146" t="s">
        <v>36</v>
      </c>
      <c r="E146" t="s">
        <v>62</v>
      </c>
      <c r="F146" t="s">
        <v>17</v>
      </c>
      <c r="G146">
        <v>10</v>
      </c>
      <c r="H146">
        <v>50000</v>
      </c>
      <c r="I146">
        <v>40000</v>
      </c>
      <c r="J146">
        <v>500000</v>
      </c>
      <c r="K146">
        <v>400000</v>
      </c>
      <c r="L146">
        <v>100000</v>
      </c>
    </row>
    <row r="147" spans="1:12" x14ac:dyDescent="0.3">
      <c r="A147" t="s">
        <v>293</v>
      </c>
      <c r="B147" t="s">
        <v>201</v>
      </c>
      <c r="C147" t="s">
        <v>39</v>
      </c>
      <c r="D147" t="s">
        <v>31</v>
      </c>
      <c r="E147" t="s">
        <v>46</v>
      </c>
      <c r="F147" t="s">
        <v>17</v>
      </c>
      <c r="G147">
        <v>2</v>
      </c>
      <c r="H147">
        <v>20000</v>
      </c>
      <c r="I147">
        <v>15000</v>
      </c>
      <c r="J147">
        <v>40000</v>
      </c>
      <c r="K147">
        <v>30000</v>
      </c>
      <c r="L147">
        <v>10000</v>
      </c>
    </row>
    <row r="148" spans="1:12" x14ac:dyDescent="0.3">
      <c r="A148" t="s">
        <v>294</v>
      </c>
      <c r="B148" t="s">
        <v>295</v>
      </c>
      <c r="C148" t="s">
        <v>71</v>
      </c>
      <c r="D148" t="s">
        <v>36</v>
      </c>
      <c r="E148" t="s">
        <v>27</v>
      </c>
      <c r="F148" t="s">
        <v>17</v>
      </c>
      <c r="G148">
        <v>4</v>
      </c>
      <c r="H148">
        <v>30000</v>
      </c>
      <c r="I148">
        <v>24000</v>
      </c>
      <c r="J148">
        <v>120000</v>
      </c>
      <c r="K148">
        <v>96000</v>
      </c>
      <c r="L148">
        <v>24000</v>
      </c>
    </row>
    <row r="149" spans="1:12" x14ac:dyDescent="0.3">
      <c r="A149" t="s">
        <v>296</v>
      </c>
      <c r="B149" t="s">
        <v>297</v>
      </c>
      <c r="C149" t="s">
        <v>56</v>
      </c>
      <c r="D149" t="s">
        <v>31</v>
      </c>
      <c r="E149" t="s">
        <v>46</v>
      </c>
      <c r="F149" t="s">
        <v>17</v>
      </c>
      <c r="G149">
        <v>5</v>
      </c>
      <c r="H149">
        <v>20000</v>
      </c>
      <c r="I149">
        <v>15000</v>
      </c>
      <c r="J149">
        <v>100000</v>
      </c>
      <c r="K149">
        <v>75000</v>
      </c>
      <c r="L149">
        <v>25000</v>
      </c>
    </row>
    <row r="150" spans="1:12" x14ac:dyDescent="0.3">
      <c r="A150" t="s">
        <v>298</v>
      </c>
      <c r="B150" t="s">
        <v>299</v>
      </c>
      <c r="C150" t="s">
        <v>71</v>
      </c>
      <c r="D150" t="s">
        <v>15</v>
      </c>
      <c r="E150" t="s">
        <v>21</v>
      </c>
      <c r="F150" t="s">
        <v>22</v>
      </c>
      <c r="G150">
        <v>7</v>
      </c>
      <c r="H150">
        <v>2000</v>
      </c>
      <c r="I150">
        <v>1200</v>
      </c>
      <c r="J150">
        <v>14000</v>
      </c>
      <c r="K150">
        <v>8400</v>
      </c>
      <c r="L150">
        <v>5600</v>
      </c>
    </row>
    <row r="151" spans="1:12" x14ac:dyDescent="0.3">
      <c r="A151" t="s">
        <v>300</v>
      </c>
      <c r="B151" t="s">
        <v>301</v>
      </c>
      <c r="C151" t="s">
        <v>71</v>
      </c>
      <c r="D151" t="s">
        <v>36</v>
      </c>
      <c r="E151" t="s">
        <v>46</v>
      </c>
      <c r="F151" t="s">
        <v>17</v>
      </c>
      <c r="G151">
        <v>6</v>
      </c>
      <c r="H151">
        <v>20000</v>
      </c>
      <c r="I151">
        <v>15000</v>
      </c>
      <c r="J151">
        <v>120000</v>
      </c>
      <c r="K151">
        <v>90000</v>
      </c>
      <c r="L151">
        <v>30000</v>
      </c>
    </row>
    <row r="152" spans="1:12" x14ac:dyDescent="0.3">
      <c r="A152" t="s">
        <v>302</v>
      </c>
      <c r="B152" t="s">
        <v>303</v>
      </c>
      <c r="C152" t="s">
        <v>51</v>
      </c>
      <c r="D152" t="s">
        <v>15</v>
      </c>
      <c r="E152" t="s">
        <v>27</v>
      </c>
      <c r="F152" t="s">
        <v>17</v>
      </c>
      <c r="G152">
        <v>3</v>
      </c>
      <c r="H152">
        <v>30000</v>
      </c>
      <c r="I152">
        <v>24000</v>
      </c>
      <c r="J152">
        <v>90000</v>
      </c>
      <c r="K152">
        <v>72000</v>
      </c>
      <c r="L152">
        <v>18000</v>
      </c>
    </row>
    <row r="153" spans="1:12" x14ac:dyDescent="0.3">
      <c r="A153" t="s">
        <v>304</v>
      </c>
      <c r="B153" t="s">
        <v>264</v>
      </c>
      <c r="C153" t="s">
        <v>121</v>
      </c>
      <c r="D153" t="s">
        <v>26</v>
      </c>
      <c r="E153" t="s">
        <v>16</v>
      </c>
      <c r="F153" t="s">
        <v>17</v>
      </c>
      <c r="G153">
        <v>10</v>
      </c>
      <c r="H153">
        <v>15000</v>
      </c>
      <c r="I153">
        <v>11000</v>
      </c>
      <c r="J153">
        <v>150000</v>
      </c>
      <c r="K153">
        <v>110000</v>
      </c>
      <c r="L153">
        <v>40000</v>
      </c>
    </row>
    <row r="154" spans="1:12" x14ac:dyDescent="0.3">
      <c r="A154" t="s">
        <v>305</v>
      </c>
      <c r="B154" t="s">
        <v>306</v>
      </c>
      <c r="C154" t="s">
        <v>39</v>
      </c>
      <c r="D154" t="s">
        <v>15</v>
      </c>
      <c r="E154" t="s">
        <v>27</v>
      </c>
      <c r="F154" t="s">
        <v>17</v>
      </c>
      <c r="G154">
        <v>9</v>
      </c>
      <c r="H154">
        <v>30000</v>
      </c>
      <c r="I154">
        <v>24000</v>
      </c>
      <c r="J154">
        <v>270000</v>
      </c>
      <c r="K154">
        <v>216000</v>
      </c>
      <c r="L154">
        <v>54000</v>
      </c>
    </row>
    <row r="155" spans="1:12" x14ac:dyDescent="0.3">
      <c r="A155" t="s">
        <v>307</v>
      </c>
      <c r="B155" t="s">
        <v>186</v>
      </c>
      <c r="C155" t="s">
        <v>51</v>
      </c>
      <c r="D155" t="s">
        <v>31</v>
      </c>
      <c r="E155" t="s">
        <v>46</v>
      </c>
      <c r="F155" t="s">
        <v>17</v>
      </c>
      <c r="G155">
        <v>5</v>
      </c>
      <c r="H155">
        <v>20000</v>
      </c>
      <c r="I155">
        <v>15000</v>
      </c>
      <c r="J155">
        <v>100000</v>
      </c>
      <c r="K155">
        <v>75000</v>
      </c>
      <c r="L155">
        <v>25000</v>
      </c>
    </row>
    <row r="156" spans="1:12" x14ac:dyDescent="0.3">
      <c r="A156" t="s">
        <v>308</v>
      </c>
      <c r="B156" t="s">
        <v>309</v>
      </c>
      <c r="C156" t="s">
        <v>25</v>
      </c>
      <c r="D156" t="s">
        <v>26</v>
      </c>
      <c r="E156" t="s">
        <v>46</v>
      </c>
      <c r="F156" t="s">
        <v>17</v>
      </c>
      <c r="G156">
        <v>3</v>
      </c>
      <c r="H156">
        <v>20000</v>
      </c>
      <c r="I156">
        <v>15000</v>
      </c>
      <c r="J156">
        <v>60000</v>
      </c>
      <c r="K156">
        <v>45000</v>
      </c>
      <c r="L156">
        <v>15000</v>
      </c>
    </row>
    <row r="157" spans="1:12" x14ac:dyDescent="0.3">
      <c r="A157" t="s">
        <v>310</v>
      </c>
      <c r="B157" t="s">
        <v>100</v>
      </c>
      <c r="C157" t="s">
        <v>90</v>
      </c>
      <c r="D157" t="s">
        <v>26</v>
      </c>
      <c r="E157" t="s">
        <v>27</v>
      </c>
      <c r="F157" t="s">
        <v>17</v>
      </c>
      <c r="G157">
        <v>6</v>
      </c>
      <c r="H157">
        <v>30000</v>
      </c>
      <c r="I157">
        <v>24000</v>
      </c>
      <c r="J157">
        <v>180000</v>
      </c>
      <c r="K157">
        <v>144000</v>
      </c>
      <c r="L157">
        <v>36000</v>
      </c>
    </row>
    <row r="158" spans="1:12" x14ac:dyDescent="0.3">
      <c r="A158" t="s">
        <v>311</v>
      </c>
      <c r="B158" t="s">
        <v>312</v>
      </c>
      <c r="C158" t="s">
        <v>42</v>
      </c>
      <c r="D158" t="s">
        <v>36</v>
      </c>
      <c r="E158" t="s">
        <v>21</v>
      </c>
      <c r="F158" t="s">
        <v>22</v>
      </c>
      <c r="G158">
        <v>1</v>
      </c>
      <c r="H158">
        <v>2000</v>
      </c>
      <c r="I158">
        <v>1200</v>
      </c>
      <c r="J158">
        <v>2000</v>
      </c>
      <c r="K158">
        <v>1200</v>
      </c>
      <c r="L158">
        <v>800</v>
      </c>
    </row>
    <row r="159" spans="1:12" x14ac:dyDescent="0.3">
      <c r="A159" t="s">
        <v>313</v>
      </c>
      <c r="B159" t="s">
        <v>314</v>
      </c>
      <c r="C159" t="s">
        <v>25</v>
      </c>
      <c r="D159" t="s">
        <v>26</v>
      </c>
      <c r="E159" t="s">
        <v>46</v>
      </c>
      <c r="F159" t="s">
        <v>17</v>
      </c>
      <c r="G159">
        <v>4</v>
      </c>
      <c r="H159">
        <v>20000</v>
      </c>
      <c r="I159">
        <v>15000</v>
      </c>
      <c r="J159">
        <v>80000</v>
      </c>
      <c r="K159">
        <v>60000</v>
      </c>
      <c r="L159">
        <v>20000</v>
      </c>
    </row>
    <row r="160" spans="1:12" x14ac:dyDescent="0.3">
      <c r="A160" t="s">
        <v>315</v>
      </c>
      <c r="B160" t="s">
        <v>316</v>
      </c>
      <c r="C160" t="s">
        <v>30</v>
      </c>
      <c r="D160" t="s">
        <v>26</v>
      </c>
      <c r="E160" t="s">
        <v>16</v>
      </c>
      <c r="F160" t="s">
        <v>17</v>
      </c>
      <c r="G160">
        <v>5</v>
      </c>
      <c r="H160">
        <v>15000</v>
      </c>
      <c r="I160">
        <v>11000</v>
      </c>
      <c r="J160">
        <v>75000</v>
      </c>
      <c r="K160">
        <v>55000</v>
      </c>
      <c r="L160">
        <v>20000</v>
      </c>
    </row>
    <row r="161" spans="1:12" x14ac:dyDescent="0.3">
      <c r="A161" t="s">
        <v>317</v>
      </c>
      <c r="B161" t="s">
        <v>109</v>
      </c>
      <c r="C161" t="s">
        <v>51</v>
      </c>
      <c r="D161" t="s">
        <v>26</v>
      </c>
      <c r="E161" t="s">
        <v>46</v>
      </c>
      <c r="F161" t="s">
        <v>17</v>
      </c>
      <c r="G161">
        <v>1</v>
      </c>
      <c r="H161">
        <v>20000</v>
      </c>
      <c r="I161">
        <v>15000</v>
      </c>
      <c r="J161">
        <v>20000</v>
      </c>
      <c r="K161">
        <v>15000</v>
      </c>
      <c r="L161">
        <v>5000</v>
      </c>
    </row>
    <row r="162" spans="1:12" x14ac:dyDescent="0.3">
      <c r="A162" t="s">
        <v>318</v>
      </c>
      <c r="B162" t="s">
        <v>319</v>
      </c>
      <c r="C162" t="s">
        <v>56</v>
      </c>
      <c r="D162" t="s">
        <v>26</v>
      </c>
      <c r="E162" t="s">
        <v>21</v>
      </c>
      <c r="F162" t="s">
        <v>22</v>
      </c>
      <c r="G162">
        <v>2</v>
      </c>
      <c r="H162">
        <v>2000</v>
      </c>
      <c r="I162">
        <v>1200</v>
      </c>
      <c r="J162">
        <v>4000</v>
      </c>
      <c r="K162">
        <v>2400</v>
      </c>
      <c r="L162">
        <v>1600</v>
      </c>
    </row>
    <row r="163" spans="1:12" x14ac:dyDescent="0.3">
      <c r="A163" t="s">
        <v>320</v>
      </c>
      <c r="B163" t="s">
        <v>321</v>
      </c>
      <c r="C163" t="s">
        <v>14</v>
      </c>
      <c r="D163" t="s">
        <v>26</v>
      </c>
      <c r="E163" t="s">
        <v>46</v>
      </c>
      <c r="F163" t="s">
        <v>17</v>
      </c>
      <c r="G163">
        <v>8</v>
      </c>
      <c r="H163">
        <v>20000</v>
      </c>
      <c r="I163">
        <v>15000</v>
      </c>
      <c r="J163">
        <v>160000</v>
      </c>
      <c r="K163">
        <v>120000</v>
      </c>
      <c r="L163">
        <v>40000</v>
      </c>
    </row>
    <row r="164" spans="1:12" x14ac:dyDescent="0.3">
      <c r="A164" t="s">
        <v>322</v>
      </c>
      <c r="B164" t="s">
        <v>123</v>
      </c>
      <c r="C164" t="s">
        <v>14</v>
      </c>
      <c r="D164" t="s">
        <v>31</v>
      </c>
      <c r="E164" t="s">
        <v>27</v>
      </c>
      <c r="F164" t="s">
        <v>17</v>
      </c>
      <c r="G164">
        <v>2</v>
      </c>
      <c r="H164">
        <v>30000</v>
      </c>
      <c r="I164">
        <v>24000</v>
      </c>
      <c r="J164">
        <v>60000</v>
      </c>
      <c r="K164">
        <v>48000</v>
      </c>
      <c r="L164">
        <v>12000</v>
      </c>
    </row>
    <row r="165" spans="1:12" x14ac:dyDescent="0.3">
      <c r="A165" t="s">
        <v>323</v>
      </c>
      <c r="B165" t="s">
        <v>324</v>
      </c>
      <c r="C165" t="s">
        <v>56</v>
      </c>
      <c r="D165" t="s">
        <v>26</v>
      </c>
      <c r="E165" t="s">
        <v>16</v>
      </c>
      <c r="F165" t="s">
        <v>17</v>
      </c>
      <c r="G165">
        <v>6</v>
      </c>
      <c r="H165">
        <v>15000</v>
      </c>
      <c r="I165">
        <v>11000</v>
      </c>
      <c r="J165">
        <v>90000</v>
      </c>
      <c r="K165">
        <v>66000</v>
      </c>
      <c r="L165">
        <v>24000</v>
      </c>
    </row>
    <row r="166" spans="1:12" x14ac:dyDescent="0.3">
      <c r="A166" t="s">
        <v>325</v>
      </c>
      <c r="B166" t="s">
        <v>326</v>
      </c>
      <c r="C166" t="s">
        <v>56</v>
      </c>
      <c r="D166" t="s">
        <v>15</v>
      </c>
      <c r="E166" t="s">
        <v>16</v>
      </c>
      <c r="F166" t="s">
        <v>17</v>
      </c>
      <c r="G166">
        <v>8</v>
      </c>
      <c r="H166">
        <v>15000</v>
      </c>
      <c r="I166">
        <v>11000</v>
      </c>
      <c r="J166">
        <v>120000</v>
      </c>
      <c r="K166">
        <v>88000</v>
      </c>
      <c r="L166">
        <v>32000</v>
      </c>
    </row>
    <row r="167" spans="1:12" x14ac:dyDescent="0.3">
      <c r="A167" t="s">
        <v>327</v>
      </c>
      <c r="B167" t="s">
        <v>328</v>
      </c>
      <c r="C167" t="s">
        <v>39</v>
      </c>
      <c r="D167" t="s">
        <v>31</v>
      </c>
      <c r="E167" t="s">
        <v>46</v>
      </c>
      <c r="F167" t="s">
        <v>17</v>
      </c>
      <c r="G167">
        <v>3</v>
      </c>
      <c r="H167">
        <v>20000</v>
      </c>
      <c r="I167">
        <v>15000</v>
      </c>
      <c r="J167">
        <v>60000</v>
      </c>
      <c r="K167">
        <v>45000</v>
      </c>
      <c r="L167">
        <v>15000</v>
      </c>
    </row>
    <row r="168" spans="1:12" x14ac:dyDescent="0.3">
      <c r="A168" t="s">
        <v>329</v>
      </c>
      <c r="B168" t="s">
        <v>330</v>
      </c>
      <c r="C168" t="s">
        <v>42</v>
      </c>
      <c r="D168" t="s">
        <v>15</v>
      </c>
      <c r="E168" t="s">
        <v>62</v>
      </c>
      <c r="F168" t="s">
        <v>17</v>
      </c>
      <c r="G168">
        <v>9</v>
      </c>
      <c r="H168">
        <v>50000</v>
      </c>
      <c r="I168">
        <v>40000</v>
      </c>
      <c r="J168">
        <v>450000</v>
      </c>
      <c r="K168">
        <v>360000</v>
      </c>
      <c r="L168">
        <v>90000</v>
      </c>
    </row>
    <row r="169" spans="1:12" x14ac:dyDescent="0.3">
      <c r="A169" t="s">
        <v>331</v>
      </c>
      <c r="B169" t="s">
        <v>332</v>
      </c>
      <c r="C169" t="s">
        <v>56</v>
      </c>
      <c r="D169" t="s">
        <v>26</v>
      </c>
      <c r="E169" t="s">
        <v>27</v>
      </c>
      <c r="F169" t="s">
        <v>17</v>
      </c>
      <c r="G169">
        <v>9</v>
      </c>
      <c r="H169">
        <v>30000</v>
      </c>
      <c r="I169">
        <v>24000</v>
      </c>
      <c r="J169">
        <v>270000</v>
      </c>
      <c r="K169">
        <v>216000</v>
      </c>
      <c r="L169">
        <v>54000</v>
      </c>
    </row>
    <row r="170" spans="1:12" x14ac:dyDescent="0.3">
      <c r="A170" t="s">
        <v>333</v>
      </c>
      <c r="B170" t="s">
        <v>264</v>
      </c>
      <c r="C170" t="s">
        <v>121</v>
      </c>
      <c r="D170" t="s">
        <v>36</v>
      </c>
      <c r="E170" t="s">
        <v>62</v>
      </c>
      <c r="F170" t="s">
        <v>17</v>
      </c>
      <c r="G170">
        <v>6</v>
      </c>
      <c r="H170">
        <v>50000</v>
      </c>
      <c r="I170">
        <v>40000</v>
      </c>
      <c r="J170">
        <v>300000</v>
      </c>
      <c r="K170">
        <v>240000</v>
      </c>
      <c r="L170">
        <v>60000</v>
      </c>
    </row>
    <row r="171" spans="1:12" x14ac:dyDescent="0.3">
      <c r="A171" t="s">
        <v>334</v>
      </c>
      <c r="B171" t="s">
        <v>335</v>
      </c>
      <c r="C171" t="s">
        <v>25</v>
      </c>
      <c r="D171" t="s">
        <v>31</v>
      </c>
      <c r="E171" t="s">
        <v>21</v>
      </c>
      <c r="F171" t="s">
        <v>22</v>
      </c>
      <c r="G171">
        <v>7</v>
      </c>
      <c r="H171">
        <v>2000</v>
      </c>
      <c r="I171">
        <v>1200</v>
      </c>
      <c r="J171">
        <v>14000</v>
      </c>
      <c r="K171">
        <v>8400</v>
      </c>
      <c r="L171">
        <v>5600</v>
      </c>
    </row>
    <row r="172" spans="1:12" x14ac:dyDescent="0.3">
      <c r="A172" t="s">
        <v>336</v>
      </c>
      <c r="B172" t="s">
        <v>337</v>
      </c>
      <c r="C172" t="s">
        <v>56</v>
      </c>
      <c r="D172" t="s">
        <v>15</v>
      </c>
      <c r="E172" t="s">
        <v>21</v>
      </c>
      <c r="F172" t="s">
        <v>22</v>
      </c>
      <c r="G172">
        <v>9</v>
      </c>
      <c r="H172">
        <v>2000</v>
      </c>
      <c r="I172">
        <v>1200</v>
      </c>
      <c r="J172">
        <v>18000</v>
      </c>
      <c r="K172">
        <v>10800</v>
      </c>
      <c r="L172">
        <v>7200</v>
      </c>
    </row>
    <row r="173" spans="1:12" x14ac:dyDescent="0.3">
      <c r="A173" t="s">
        <v>338</v>
      </c>
      <c r="B173" t="s">
        <v>314</v>
      </c>
      <c r="C173" t="s">
        <v>25</v>
      </c>
      <c r="D173" t="s">
        <v>26</v>
      </c>
      <c r="E173" t="s">
        <v>27</v>
      </c>
      <c r="F173" t="s">
        <v>17</v>
      </c>
      <c r="G173">
        <v>6</v>
      </c>
      <c r="H173">
        <v>30000</v>
      </c>
      <c r="I173">
        <v>24000</v>
      </c>
      <c r="J173">
        <v>180000</v>
      </c>
      <c r="K173">
        <v>144000</v>
      </c>
      <c r="L173">
        <v>36000</v>
      </c>
    </row>
    <row r="174" spans="1:12" x14ac:dyDescent="0.3">
      <c r="A174" t="s">
        <v>339</v>
      </c>
      <c r="B174" t="s">
        <v>340</v>
      </c>
      <c r="C174" t="s">
        <v>14</v>
      </c>
      <c r="D174" t="s">
        <v>36</v>
      </c>
      <c r="E174" t="s">
        <v>27</v>
      </c>
      <c r="F174" t="s">
        <v>17</v>
      </c>
      <c r="G174">
        <v>10</v>
      </c>
      <c r="H174">
        <v>30000</v>
      </c>
      <c r="I174">
        <v>24000</v>
      </c>
      <c r="J174">
        <v>300000</v>
      </c>
      <c r="K174">
        <v>240000</v>
      </c>
      <c r="L174">
        <v>60000</v>
      </c>
    </row>
    <row r="175" spans="1:12" x14ac:dyDescent="0.3">
      <c r="A175" t="s">
        <v>341</v>
      </c>
      <c r="B175" t="s">
        <v>81</v>
      </c>
      <c r="C175" t="s">
        <v>39</v>
      </c>
      <c r="D175" t="s">
        <v>26</v>
      </c>
      <c r="E175" t="s">
        <v>62</v>
      </c>
      <c r="F175" t="s">
        <v>17</v>
      </c>
      <c r="G175">
        <v>10</v>
      </c>
      <c r="H175">
        <v>50000</v>
      </c>
      <c r="I175">
        <v>40000</v>
      </c>
      <c r="J175">
        <v>500000</v>
      </c>
      <c r="K175">
        <v>400000</v>
      </c>
      <c r="L175">
        <v>100000</v>
      </c>
    </row>
    <row r="176" spans="1:12" x14ac:dyDescent="0.3">
      <c r="A176" t="s">
        <v>342</v>
      </c>
      <c r="B176" t="s">
        <v>138</v>
      </c>
      <c r="C176" t="s">
        <v>121</v>
      </c>
      <c r="D176" t="s">
        <v>26</v>
      </c>
      <c r="E176" t="s">
        <v>27</v>
      </c>
      <c r="F176" t="s">
        <v>17</v>
      </c>
      <c r="G176">
        <v>10</v>
      </c>
      <c r="H176">
        <v>30000</v>
      </c>
      <c r="I176">
        <v>24000</v>
      </c>
      <c r="J176">
        <v>300000</v>
      </c>
      <c r="K176">
        <v>240000</v>
      </c>
      <c r="L176">
        <v>60000</v>
      </c>
    </row>
    <row r="177" spans="1:12" x14ac:dyDescent="0.3">
      <c r="A177" t="s">
        <v>343</v>
      </c>
      <c r="B177" t="s">
        <v>77</v>
      </c>
      <c r="C177" t="s">
        <v>39</v>
      </c>
      <c r="D177" t="s">
        <v>31</v>
      </c>
      <c r="E177" t="s">
        <v>21</v>
      </c>
      <c r="F177" t="s">
        <v>22</v>
      </c>
      <c r="G177">
        <v>4</v>
      </c>
      <c r="H177">
        <v>2000</v>
      </c>
      <c r="I177">
        <v>1200</v>
      </c>
      <c r="J177">
        <v>8000</v>
      </c>
      <c r="K177">
        <v>4800</v>
      </c>
      <c r="L177">
        <v>3200</v>
      </c>
    </row>
    <row r="178" spans="1:12" x14ac:dyDescent="0.3">
      <c r="A178" t="s">
        <v>344</v>
      </c>
      <c r="B178" t="s">
        <v>345</v>
      </c>
      <c r="C178" t="s">
        <v>121</v>
      </c>
      <c r="D178" t="s">
        <v>31</v>
      </c>
      <c r="E178" t="s">
        <v>27</v>
      </c>
      <c r="F178" t="s">
        <v>17</v>
      </c>
      <c r="G178">
        <v>1</v>
      </c>
      <c r="H178">
        <v>30000</v>
      </c>
      <c r="I178">
        <v>24000</v>
      </c>
      <c r="J178">
        <v>30000</v>
      </c>
      <c r="K178">
        <v>24000</v>
      </c>
      <c r="L178">
        <v>6000</v>
      </c>
    </row>
    <row r="179" spans="1:12" x14ac:dyDescent="0.3">
      <c r="A179" t="s">
        <v>346</v>
      </c>
      <c r="B179" t="s">
        <v>50</v>
      </c>
      <c r="C179" t="s">
        <v>51</v>
      </c>
      <c r="D179" t="s">
        <v>36</v>
      </c>
      <c r="E179" t="s">
        <v>27</v>
      </c>
      <c r="F179" t="s">
        <v>17</v>
      </c>
      <c r="G179">
        <v>10</v>
      </c>
      <c r="H179">
        <v>30000</v>
      </c>
      <c r="I179">
        <v>24000</v>
      </c>
      <c r="J179">
        <v>300000</v>
      </c>
      <c r="K179">
        <v>240000</v>
      </c>
      <c r="L179">
        <v>60000</v>
      </c>
    </row>
    <row r="180" spans="1:12" x14ac:dyDescent="0.3">
      <c r="A180" t="s">
        <v>347</v>
      </c>
      <c r="B180" t="s">
        <v>348</v>
      </c>
      <c r="C180" t="s">
        <v>71</v>
      </c>
      <c r="D180" t="s">
        <v>26</v>
      </c>
      <c r="E180" t="s">
        <v>16</v>
      </c>
      <c r="F180" t="s">
        <v>17</v>
      </c>
      <c r="G180">
        <v>6</v>
      </c>
      <c r="H180">
        <v>15000</v>
      </c>
      <c r="I180">
        <v>11000</v>
      </c>
      <c r="J180">
        <v>90000</v>
      </c>
      <c r="K180">
        <v>66000</v>
      </c>
      <c r="L180">
        <v>24000</v>
      </c>
    </row>
    <row r="181" spans="1:12" x14ac:dyDescent="0.3">
      <c r="A181" t="s">
        <v>349</v>
      </c>
      <c r="B181" t="s">
        <v>350</v>
      </c>
      <c r="C181" t="s">
        <v>20</v>
      </c>
      <c r="D181" t="s">
        <v>26</v>
      </c>
      <c r="E181" t="s">
        <v>27</v>
      </c>
      <c r="F181" t="s">
        <v>17</v>
      </c>
      <c r="G181">
        <v>8</v>
      </c>
      <c r="H181">
        <v>30000</v>
      </c>
      <c r="I181">
        <v>24000</v>
      </c>
      <c r="J181">
        <v>240000</v>
      </c>
      <c r="K181">
        <v>192000</v>
      </c>
      <c r="L181">
        <v>48000</v>
      </c>
    </row>
    <row r="182" spans="1:12" x14ac:dyDescent="0.3">
      <c r="A182" t="s">
        <v>351</v>
      </c>
      <c r="B182" t="s">
        <v>35</v>
      </c>
      <c r="C182" t="s">
        <v>30</v>
      </c>
      <c r="D182" t="s">
        <v>15</v>
      </c>
      <c r="E182" t="s">
        <v>27</v>
      </c>
      <c r="F182" t="s">
        <v>17</v>
      </c>
      <c r="G182">
        <v>8</v>
      </c>
      <c r="H182">
        <v>30000</v>
      </c>
      <c r="I182">
        <v>24000</v>
      </c>
      <c r="J182">
        <v>240000</v>
      </c>
      <c r="K182">
        <v>192000</v>
      </c>
      <c r="L182">
        <v>48000</v>
      </c>
    </row>
    <row r="183" spans="1:12" x14ac:dyDescent="0.3">
      <c r="A183" t="s">
        <v>352</v>
      </c>
      <c r="B183" t="s">
        <v>353</v>
      </c>
      <c r="C183" t="s">
        <v>25</v>
      </c>
      <c r="D183" t="s">
        <v>36</v>
      </c>
      <c r="E183" t="s">
        <v>16</v>
      </c>
      <c r="F183" t="s">
        <v>17</v>
      </c>
      <c r="G183">
        <v>3</v>
      </c>
      <c r="H183">
        <v>15000</v>
      </c>
      <c r="I183">
        <v>11000</v>
      </c>
      <c r="J183">
        <v>45000</v>
      </c>
      <c r="K183">
        <v>33000</v>
      </c>
      <c r="L183">
        <v>12000</v>
      </c>
    </row>
    <row r="184" spans="1:12" x14ac:dyDescent="0.3">
      <c r="A184" t="s">
        <v>354</v>
      </c>
      <c r="B184" t="s">
        <v>276</v>
      </c>
      <c r="C184" t="s">
        <v>30</v>
      </c>
      <c r="D184" t="s">
        <v>26</v>
      </c>
      <c r="E184" t="s">
        <v>27</v>
      </c>
      <c r="F184" t="s">
        <v>17</v>
      </c>
      <c r="G184">
        <v>5</v>
      </c>
      <c r="H184">
        <v>30000</v>
      </c>
      <c r="I184">
        <v>24000</v>
      </c>
      <c r="J184">
        <v>150000</v>
      </c>
      <c r="K184">
        <v>120000</v>
      </c>
      <c r="L184">
        <v>30000</v>
      </c>
    </row>
    <row r="185" spans="1:12" x14ac:dyDescent="0.3">
      <c r="A185" t="s">
        <v>355</v>
      </c>
      <c r="B185" t="s">
        <v>356</v>
      </c>
      <c r="C185" t="s">
        <v>20</v>
      </c>
      <c r="D185" t="s">
        <v>15</v>
      </c>
      <c r="E185" t="s">
        <v>62</v>
      </c>
      <c r="F185" t="s">
        <v>17</v>
      </c>
      <c r="G185">
        <v>4</v>
      </c>
      <c r="H185">
        <v>50000</v>
      </c>
      <c r="I185">
        <v>40000</v>
      </c>
      <c r="J185">
        <v>200000</v>
      </c>
      <c r="K185">
        <v>160000</v>
      </c>
      <c r="L185">
        <v>40000</v>
      </c>
    </row>
    <row r="186" spans="1:12" x14ac:dyDescent="0.3">
      <c r="A186" t="s">
        <v>357</v>
      </c>
      <c r="B186" t="s">
        <v>358</v>
      </c>
      <c r="C186" t="s">
        <v>71</v>
      </c>
      <c r="D186" t="s">
        <v>26</v>
      </c>
      <c r="E186" t="s">
        <v>46</v>
      </c>
      <c r="F186" t="s">
        <v>17</v>
      </c>
      <c r="G186">
        <v>6</v>
      </c>
      <c r="H186">
        <v>20000</v>
      </c>
      <c r="I186">
        <v>15000</v>
      </c>
      <c r="J186">
        <v>120000</v>
      </c>
      <c r="K186">
        <v>90000</v>
      </c>
      <c r="L186">
        <v>30000</v>
      </c>
    </row>
    <row r="187" spans="1:12" x14ac:dyDescent="0.3">
      <c r="A187" t="s">
        <v>359</v>
      </c>
      <c r="B187" t="s">
        <v>217</v>
      </c>
      <c r="C187" t="s">
        <v>25</v>
      </c>
      <c r="D187" t="s">
        <v>36</v>
      </c>
      <c r="E187" t="s">
        <v>16</v>
      </c>
      <c r="F187" t="s">
        <v>17</v>
      </c>
      <c r="G187">
        <v>10</v>
      </c>
      <c r="H187">
        <v>15000</v>
      </c>
      <c r="I187">
        <v>11000</v>
      </c>
      <c r="J187">
        <v>150000</v>
      </c>
      <c r="K187">
        <v>110000</v>
      </c>
      <c r="L187">
        <v>40000</v>
      </c>
    </row>
    <row r="188" spans="1:12" x14ac:dyDescent="0.3">
      <c r="A188" t="s">
        <v>360</v>
      </c>
      <c r="B188" t="s">
        <v>361</v>
      </c>
      <c r="C188" t="s">
        <v>90</v>
      </c>
      <c r="D188" t="s">
        <v>36</v>
      </c>
      <c r="E188" t="s">
        <v>46</v>
      </c>
      <c r="F188" t="s">
        <v>17</v>
      </c>
      <c r="G188">
        <v>9</v>
      </c>
      <c r="H188">
        <v>20000</v>
      </c>
      <c r="I188">
        <v>15000</v>
      </c>
      <c r="J188">
        <v>180000</v>
      </c>
      <c r="K188">
        <v>135000</v>
      </c>
      <c r="L188">
        <v>45000</v>
      </c>
    </row>
    <row r="189" spans="1:12" x14ac:dyDescent="0.3">
      <c r="A189" t="s">
        <v>362</v>
      </c>
      <c r="B189" t="s">
        <v>363</v>
      </c>
      <c r="C189" t="s">
        <v>14</v>
      </c>
      <c r="D189" t="s">
        <v>36</v>
      </c>
      <c r="E189" t="s">
        <v>27</v>
      </c>
      <c r="F189" t="s">
        <v>17</v>
      </c>
      <c r="G189">
        <v>6</v>
      </c>
      <c r="H189">
        <v>30000</v>
      </c>
      <c r="I189">
        <v>24000</v>
      </c>
      <c r="J189">
        <v>180000</v>
      </c>
      <c r="K189">
        <v>144000</v>
      </c>
      <c r="L189">
        <v>36000</v>
      </c>
    </row>
    <row r="190" spans="1:12" x14ac:dyDescent="0.3">
      <c r="A190" t="s">
        <v>364</v>
      </c>
      <c r="B190" t="s">
        <v>365</v>
      </c>
      <c r="C190" t="s">
        <v>25</v>
      </c>
      <c r="D190" t="s">
        <v>31</v>
      </c>
      <c r="E190" t="s">
        <v>16</v>
      </c>
      <c r="F190" t="s">
        <v>17</v>
      </c>
      <c r="G190">
        <v>6</v>
      </c>
      <c r="H190">
        <v>15000</v>
      </c>
      <c r="I190">
        <v>11000</v>
      </c>
      <c r="J190">
        <v>90000</v>
      </c>
      <c r="K190">
        <v>66000</v>
      </c>
      <c r="L190">
        <v>24000</v>
      </c>
    </row>
    <row r="191" spans="1:12" x14ac:dyDescent="0.3">
      <c r="A191" t="s">
        <v>366</v>
      </c>
      <c r="B191" t="s">
        <v>367</v>
      </c>
      <c r="C191" t="s">
        <v>56</v>
      </c>
      <c r="D191" t="s">
        <v>15</v>
      </c>
      <c r="E191" t="s">
        <v>62</v>
      </c>
      <c r="F191" t="s">
        <v>17</v>
      </c>
      <c r="G191">
        <v>4</v>
      </c>
      <c r="H191">
        <v>50000</v>
      </c>
      <c r="I191">
        <v>40000</v>
      </c>
      <c r="J191">
        <v>200000</v>
      </c>
      <c r="K191">
        <v>160000</v>
      </c>
      <c r="L191">
        <v>40000</v>
      </c>
    </row>
    <row r="192" spans="1:12" x14ac:dyDescent="0.3">
      <c r="A192" t="s">
        <v>368</v>
      </c>
      <c r="B192" t="s">
        <v>369</v>
      </c>
      <c r="C192" t="s">
        <v>39</v>
      </c>
      <c r="D192" t="s">
        <v>31</v>
      </c>
      <c r="E192" t="s">
        <v>16</v>
      </c>
      <c r="F192" t="s">
        <v>17</v>
      </c>
      <c r="G192">
        <v>9</v>
      </c>
      <c r="H192">
        <v>15000</v>
      </c>
      <c r="I192">
        <v>11000</v>
      </c>
      <c r="J192">
        <v>135000</v>
      </c>
      <c r="K192">
        <v>99000</v>
      </c>
      <c r="L192">
        <v>36000</v>
      </c>
    </row>
    <row r="193" spans="1:12" x14ac:dyDescent="0.3">
      <c r="A193" t="s">
        <v>370</v>
      </c>
      <c r="B193" t="s">
        <v>371</v>
      </c>
      <c r="C193" t="s">
        <v>14</v>
      </c>
      <c r="D193" t="s">
        <v>15</v>
      </c>
      <c r="E193" t="s">
        <v>46</v>
      </c>
      <c r="F193" t="s">
        <v>17</v>
      </c>
      <c r="G193">
        <v>3</v>
      </c>
      <c r="H193">
        <v>20000</v>
      </c>
      <c r="I193">
        <v>15000</v>
      </c>
      <c r="J193">
        <v>60000</v>
      </c>
      <c r="K193">
        <v>45000</v>
      </c>
      <c r="L193">
        <v>15000</v>
      </c>
    </row>
    <row r="194" spans="1:12" x14ac:dyDescent="0.3">
      <c r="A194" t="s">
        <v>372</v>
      </c>
      <c r="B194" t="s">
        <v>373</v>
      </c>
      <c r="C194" t="s">
        <v>42</v>
      </c>
      <c r="D194" t="s">
        <v>15</v>
      </c>
      <c r="E194" t="s">
        <v>21</v>
      </c>
      <c r="F194" t="s">
        <v>22</v>
      </c>
      <c r="G194">
        <v>8</v>
      </c>
      <c r="H194">
        <v>2000</v>
      </c>
      <c r="I194">
        <v>1200</v>
      </c>
      <c r="J194">
        <v>16000</v>
      </c>
      <c r="K194">
        <v>9600</v>
      </c>
      <c r="L194">
        <v>6400</v>
      </c>
    </row>
    <row r="195" spans="1:12" x14ac:dyDescent="0.3">
      <c r="A195" t="s">
        <v>374</v>
      </c>
      <c r="B195" t="s">
        <v>375</v>
      </c>
      <c r="C195" t="s">
        <v>45</v>
      </c>
      <c r="D195" t="s">
        <v>15</v>
      </c>
      <c r="E195" t="s">
        <v>62</v>
      </c>
      <c r="F195" t="s">
        <v>17</v>
      </c>
      <c r="G195">
        <v>8</v>
      </c>
      <c r="H195">
        <v>50000</v>
      </c>
      <c r="I195">
        <v>40000</v>
      </c>
      <c r="J195">
        <v>400000</v>
      </c>
      <c r="K195">
        <v>320000</v>
      </c>
      <c r="L195">
        <v>80000</v>
      </c>
    </row>
    <row r="196" spans="1:12" x14ac:dyDescent="0.3">
      <c r="A196" t="s">
        <v>376</v>
      </c>
      <c r="B196" t="s">
        <v>220</v>
      </c>
      <c r="C196" t="s">
        <v>39</v>
      </c>
      <c r="D196" t="s">
        <v>15</v>
      </c>
      <c r="E196" t="s">
        <v>27</v>
      </c>
      <c r="F196" t="s">
        <v>17</v>
      </c>
      <c r="G196">
        <v>2</v>
      </c>
      <c r="H196">
        <v>30000</v>
      </c>
      <c r="I196">
        <v>24000</v>
      </c>
      <c r="J196">
        <v>60000</v>
      </c>
      <c r="K196">
        <v>48000</v>
      </c>
      <c r="L196">
        <v>12000</v>
      </c>
    </row>
    <row r="197" spans="1:12" x14ac:dyDescent="0.3">
      <c r="A197" t="s">
        <v>377</v>
      </c>
      <c r="B197" t="s">
        <v>378</v>
      </c>
      <c r="C197" t="s">
        <v>51</v>
      </c>
      <c r="D197" t="s">
        <v>15</v>
      </c>
      <c r="E197" t="s">
        <v>62</v>
      </c>
      <c r="F197" t="s">
        <v>17</v>
      </c>
      <c r="G197">
        <v>5</v>
      </c>
      <c r="H197">
        <v>50000</v>
      </c>
      <c r="I197">
        <v>40000</v>
      </c>
      <c r="J197">
        <v>250000</v>
      </c>
      <c r="K197">
        <v>200000</v>
      </c>
      <c r="L197">
        <v>50000</v>
      </c>
    </row>
    <row r="198" spans="1:12" x14ac:dyDescent="0.3">
      <c r="A198" t="s">
        <v>379</v>
      </c>
      <c r="B198" t="s">
        <v>154</v>
      </c>
      <c r="C198" t="s">
        <v>14</v>
      </c>
      <c r="D198" t="s">
        <v>31</v>
      </c>
      <c r="E198" t="s">
        <v>27</v>
      </c>
      <c r="F198" t="s">
        <v>17</v>
      </c>
      <c r="G198">
        <v>1</v>
      </c>
      <c r="H198">
        <v>30000</v>
      </c>
      <c r="I198">
        <v>24000</v>
      </c>
      <c r="J198">
        <v>30000</v>
      </c>
      <c r="K198">
        <v>24000</v>
      </c>
      <c r="L198">
        <v>6000</v>
      </c>
    </row>
    <row r="199" spans="1:12" x14ac:dyDescent="0.3">
      <c r="A199" t="s">
        <v>380</v>
      </c>
      <c r="B199" t="s">
        <v>381</v>
      </c>
      <c r="C199" t="s">
        <v>30</v>
      </c>
      <c r="D199" t="s">
        <v>15</v>
      </c>
      <c r="E199" t="s">
        <v>21</v>
      </c>
      <c r="F199" t="s">
        <v>22</v>
      </c>
      <c r="G199">
        <v>9</v>
      </c>
      <c r="H199">
        <v>2000</v>
      </c>
      <c r="I199">
        <v>1200</v>
      </c>
      <c r="J199">
        <v>18000</v>
      </c>
      <c r="K199">
        <v>10800</v>
      </c>
      <c r="L199">
        <v>7200</v>
      </c>
    </row>
    <row r="200" spans="1:12" x14ac:dyDescent="0.3">
      <c r="A200" t="s">
        <v>382</v>
      </c>
      <c r="B200" t="s">
        <v>383</v>
      </c>
      <c r="C200" t="s">
        <v>39</v>
      </c>
      <c r="D200" t="s">
        <v>31</v>
      </c>
      <c r="E200" t="s">
        <v>16</v>
      </c>
      <c r="F200" t="s">
        <v>17</v>
      </c>
      <c r="G200">
        <v>10</v>
      </c>
      <c r="H200">
        <v>15000</v>
      </c>
      <c r="I200">
        <v>11000</v>
      </c>
      <c r="J200">
        <v>150000</v>
      </c>
      <c r="K200">
        <v>110000</v>
      </c>
      <c r="L200">
        <v>40000</v>
      </c>
    </row>
    <row r="201" spans="1:12" x14ac:dyDescent="0.3">
      <c r="A201" t="s">
        <v>384</v>
      </c>
      <c r="B201" t="s">
        <v>385</v>
      </c>
      <c r="C201" t="s">
        <v>20</v>
      </c>
      <c r="D201" t="s">
        <v>36</v>
      </c>
      <c r="E201" t="s">
        <v>21</v>
      </c>
      <c r="F201" t="s">
        <v>22</v>
      </c>
      <c r="G201">
        <v>9</v>
      </c>
      <c r="H201">
        <v>2000</v>
      </c>
      <c r="I201">
        <v>1200</v>
      </c>
      <c r="J201">
        <v>18000</v>
      </c>
      <c r="K201">
        <v>10800</v>
      </c>
      <c r="L201">
        <v>7200</v>
      </c>
    </row>
    <row r="202" spans="1:12" x14ac:dyDescent="0.3">
      <c r="A202" t="s">
        <v>386</v>
      </c>
      <c r="B202" t="s">
        <v>387</v>
      </c>
      <c r="C202" t="s">
        <v>45</v>
      </c>
      <c r="D202" t="s">
        <v>15</v>
      </c>
      <c r="E202" t="s">
        <v>16</v>
      </c>
      <c r="F202" t="s">
        <v>17</v>
      </c>
      <c r="G202">
        <v>8</v>
      </c>
      <c r="H202">
        <v>15000</v>
      </c>
      <c r="I202">
        <v>11000</v>
      </c>
      <c r="J202">
        <v>120000</v>
      </c>
      <c r="K202">
        <v>88000</v>
      </c>
      <c r="L202">
        <v>32000</v>
      </c>
    </row>
    <row r="203" spans="1:12" x14ac:dyDescent="0.3">
      <c r="A203" t="s">
        <v>388</v>
      </c>
      <c r="B203" t="s">
        <v>389</v>
      </c>
      <c r="C203" t="s">
        <v>45</v>
      </c>
      <c r="D203" t="s">
        <v>15</v>
      </c>
      <c r="E203" t="s">
        <v>16</v>
      </c>
      <c r="F203" t="s">
        <v>17</v>
      </c>
      <c r="G203">
        <v>10</v>
      </c>
      <c r="H203">
        <v>15000</v>
      </c>
      <c r="I203">
        <v>11000</v>
      </c>
      <c r="J203">
        <v>150000</v>
      </c>
      <c r="K203">
        <v>110000</v>
      </c>
      <c r="L203">
        <v>40000</v>
      </c>
    </row>
    <row r="204" spans="1:12" x14ac:dyDescent="0.3">
      <c r="A204" t="s">
        <v>390</v>
      </c>
      <c r="B204" t="s">
        <v>391</v>
      </c>
      <c r="C204" t="s">
        <v>56</v>
      </c>
      <c r="D204" t="s">
        <v>31</v>
      </c>
      <c r="E204" t="s">
        <v>46</v>
      </c>
      <c r="F204" t="s">
        <v>17</v>
      </c>
      <c r="G204">
        <v>3</v>
      </c>
      <c r="H204">
        <v>20000</v>
      </c>
      <c r="I204">
        <v>15000</v>
      </c>
      <c r="J204">
        <v>60000</v>
      </c>
      <c r="K204">
        <v>45000</v>
      </c>
      <c r="L204">
        <v>15000</v>
      </c>
    </row>
    <row r="205" spans="1:12" x14ac:dyDescent="0.3">
      <c r="A205" t="s">
        <v>392</v>
      </c>
      <c r="B205" t="s">
        <v>393</v>
      </c>
      <c r="C205" t="s">
        <v>30</v>
      </c>
      <c r="D205" t="s">
        <v>26</v>
      </c>
      <c r="E205" t="s">
        <v>27</v>
      </c>
      <c r="F205" t="s">
        <v>17</v>
      </c>
      <c r="G205">
        <v>2</v>
      </c>
      <c r="H205">
        <v>30000</v>
      </c>
      <c r="I205">
        <v>24000</v>
      </c>
      <c r="J205">
        <v>60000</v>
      </c>
      <c r="K205">
        <v>48000</v>
      </c>
      <c r="L205">
        <v>12000</v>
      </c>
    </row>
    <row r="206" spans="1:12" x14ac:dyDescent="0.3">
      <c r="A206" t="s">
        <v>394</v>
      </c>
      <c r="B206" t="s">
        <v>365</v>
      </c>
      <c r="C206" t="s">
        <v>25</v>
      </c>
      <c r="D206" t="s">
        <v>36</v>
      </c>
      <c r="E206" t="s">
        <v>62</v>
      </c>
      <c r="F206" t="s">
        <v>17</v>
      </c>
      <c r="G206">
        <v>4</v>
      </c>
      <c r="H206">
        <v>50000</v>
      </c>
      <c r="I206">
        <v>40000</v>
      </c>
      <c r="J206">
        <v>200000</v>
      </c>
      <c r="K206">
        <v>160000</v>
      </c>
      <c r="L206">
        <v>40000</v>
      </c>
    </row>
    <row r="207" spans="1:12" x14ac:dyDescent="0.3">
      <c r="A207" t="s">
        <v>395</v>
      </c>
      <c r="B207" t="s">
        <v>396</v>
      </c>
      <c r="C207" t="s">
        <v>20</v>
      </c>
      <c r="D207" t="s">
        <v>31</v>
      </c>
      <c r="E207" t="s">
        <v>21</v>
      </c>
      <c r="F207" t="s">
        <v>22</v>
      </c>
      <c r="G207">
        <v>5</v>
      </c>
      <c r="H207">
        <v>2000</v>
      </c>
      <c r="I207">
        <v>1200</v>
      </c>
      <c r="J207">
        <v>10000</v>
      </c>
      <c r="K207">
        <v>6000</v>
      </c>
      <c r="L207">
        <v>4000</v>
      </c>
    </row>
    <row r="208" spans="1:12" x14ac:dyDescent="0.3">
      <c r="A208" t="s">
        <v>397</v>
      </c>
      <c r="B208" t="s">
        <v>118</v>
      </c>
      <c r="C208" t="s">
        <v>25</v>
      </c>
      <c r="D208" t="s">
        <v>26</v>
      </c>
      <c r="E208" t="s">
        <v>16</v>
      </c>
      <c r="F208" t="s">
        <v>17</v>
      </c>
      <c r="G208">
        <v>6</v>
      </c>
      <c r="H208">
        <v>15000</v>
      </c>
      <c r="I208">
        <v>11000</v>
      </c>
      <c r="J208">
        <v>90000</v>
      </c>
      <c r="K208">
        <v>66000</v>
      </c>
      <c r="L208">
        <v>24000</v>
      </c>
    </row>
    <row r="209" spans="1:12" x14ac:dyDescent="0.3">
      <c r="A209" t="s">
        <v>398</v>
      </c>
      <c r="B209" t="s">
        <v>356</v>
      </c>
      <c r="C209" t="s">
        <v>20</v>
      </c>
      <c r="D209" t="s">
        <v>31</v>
      </c>
      <c r="E209" t="s">
        <v>46</v>
      </c>
      <c r="F209" t="s">
        <v>17</v>
      </c>
      <c r="G209">
        <v>5</v>
      </c>
      <c r="H209">
        <v>20000</v>
      </c>
      <c r="I209">
        <v>15000</v>
      </c>
      <c r="J209">
        <v>100000</v>
      </c>
      <c r="K209">
        <v>75000</v>
      </c>
      <c r="L209">
        <v>25000</v>
      </c>
    </row>
    <row r="210" spans="1:12" x14ac:dyDescent="0.3">
      <c r="A210" t="s">
        <v>399</v>
      </c>
      <c r="B210" t="s">
        <v>125</v>
      </c>
      <c r="C210" t="s">
        <v>121</v>
      </c>
      <c r="D210" t="s">
        <v>36</v>
      </c>
      <c r="E210" t="s">
        <v>27</v>
      </c>
      <c r="F210" t="s">
        <v>17</v>
      </c>
      <c r="G210">
        <v>6</v>
      </c>
      <c r="H210">
        <v>30000</v>
      </c>
      <c r="I210">
        <v>24000</v>
      </c>
      <c r="J210">
        <v>180000</v>
      </c>
      <c r="K210">
        <v>144000</v>
      </c>
      <c r="L210">
        <v>36000</v>
      </c>
    </row>
    <row r="211" spans="1:12" x14ac:dyDescent="0.3">
      <c r="A211" t="s">
        <v>400</v>
      </c>
      <c r="B211" t="s">
        <v>401</v>
      </c>
      <c r="C211" t="s">
        <v>25</v>
      </c>
      <c r="D211" t="s">
        <v>36</v>
      </c>
      <c r="E211" t="s">
        <v>21</v>
      </c>
      <c r="F211" t="s">
        <v>22</v>
      </c>
      <c r="G211">
        <v>6</v>
      </c>
      <c r="H211">
        <v>2000</v>
      </c>
      <c r="I211">
        <v>1200</v>
      </c>
      <c r="J211">
        <v>12000</v>
      </c>
      <c r="K211">
        <v>7200</v>
      </c>
      <c r="L211">
        <v>4800</v>
      </c>
    </row>
    <row r="212" spans="1:12" x14ac:dyDescent="0.3">
      <c r="A212" t="s">
        <v>402</v>
      </c>
      <c r="B212" t="s">
        <v>128</v>
      </c>
      <c r="C212" t="s">
        <v>39</v>
      </c>
      <c r="D212" t="s">
        <v>15</v>
      </c>
      <c r="E212" t="s">
        <v>62</v>
      </c>
      <c r="F212" t="s">
        <v>17</v>
      </c>
      <c r="G212">
        <v>1</v>
      </c>
      <c r="H212">
        <v>50000</v>
      </c>
      <c r="I212">
        <v>40000</v>
      </c>
      <c r="J212">
        <v>50000</v>
      </c>
      <c r="K212">
        <v>40000</v>
      </c>
      <c r="L212">
        <v>10000</v>
      </c>
    </row>
    <row r="213" spans="1:12" x14ac:dyDescent="0.3">
      <c r="A213" t="s">
        <v>403</v>
      </c>
      <c r="B213" t="s">
        <v>29</v>
      </c>
      <c r="C213" t="s">
        <v>30</v>
      </c>
      <c r="D213" t="s">
        <v>26</v>
      </c>
      <c r="E213" t="s">
        <v>46</v>
      </c>
      <c r="F213" t="s">
        <v>17</v>
      </c>
      <c r="G213">
        <v>6</v>
      </c>
      <c r="H213">
        <v>20000</v>
      </c>
      <c r="I213">
        <v>15000</v>
      </c>
      <c r="J213">
        <v>120000</v>
      </c>
      <c r="K213">
        <v>90000</v>
      </c>
      <c r="L213">
        <v>30000</v>
      </c>
    </row>
    <row r="214" spans="1:12" x14ac:dyDescent="0.3">
      <c r="A214" t="s">
        <v>404</v>
      </c>
      <c r="B214" t="s">
        <v>303</v>
      </c>
      <c r="C214" t="s">
        <v>51</v>
      </c>
      <c r="D214" t="s">
        <v>15</v>
      </c>
      <c r="E214" t="s">
        <v>16</v>
      </c>
      <c r="F214" t="s">
        <v>17</v>
      </c>
      <c r="G214">
        <v>3</v>
      </c>
      <c r="H214">
        <v>15000</v>
      </c>
      <c r="I214">
        <v>11000</v>
      </c>
      <c r="J214">
        <v>45000</v>
      </c>
      <c r="K214">
        <v>33000</v>
      </c>
      <c r="L214">
        <v>12000</v>
      </c>
    </row>
    <row r="215" spans="1:12" x14ac:dyDescent="0.3">
      <c r="A215" t="s">
        <v>405</v>
      </c>
      <c r="B215" t="s">
        <v>406</v>
      </c>
      <c r="C215" t="s">
        <v>42</v>
      </c>
      <c r="D215" t="s">
        <v>15</v>
      </c>
      <c r="E215" t="s">
        <v>16</v>
      </c>
      <c r="F215" t="s">
        <v>17</v>
      </c>
      <c r="G215">
        <v>6</v>
      </c>
      <c r="H215">
        <v>15000</v>
      </c>
      <c r="I215">
        <v>11000</v>
      </c>
      <c r="J215">
        <v>90000</v>
      </c>
      <c r="K215">
        <v>66000</v>
      </c>
      <c r="L215">
        <v>24000</v>
      </c>
    </row>
    <row r="216" spans="1:12" x14ac:dyDescent="0.3">
      <c r="A216" t="s">
        <v>407</v>
      </c>
      <c r="B216" t="s">
        <v>231</v>
      </c>
      <c r="C216" t="s">
        <v>30</v>
      </c>
      <c r="D216" t="s">
        <v>31</v>
      </c>
      <c r="E216" t="s">
        <v>16</v>
      </c>
      <c r="F216" t="s">
        <v>17</v>
      </c>
      <c r="G216">
        <v>10</v>
      </c>
      <c r="H216">
        <v>15000</v>
      </c>
      <c r="I216">
        <v>11000</v>
      </c>
      <c r="J216">
        <v>150000</v>
      </c>
      <c r="K216">
        <v>110000</v>
      </c>
      <c r="L216">
        <v>40000</v>
      </c>
    </row>
    <row r="217" spans="1:12" x14ac:dyDescent="0.3">
      <c r="A217" t="s">
        <v>408</v>
      </c>
      <c r="B217" t="s">
        <v>409</v>
      </c>
      <c r="C217" t="s">
        <v>30</v>
      </c>
      <c r="D217" t="s">
        <v>15</v>
      </c>
      <c r="E217" t="s">
        <v>21</v>
      </c>
      <c r="F217" t="s">
        <v>22</v>
      </c>
      <c r="G217">
        <v>8</v>
      </c>
      <c r="H217">
        <v>2000</v>
      </c>
      <c r="I217">
        <v>1200</v>
      </c>
      <c r="J217">
        <v>16000</v>
      </c>
      <c r="K217">
        <v>9600</v>
      </c>
      <c r="L217">
        <v>6400</v>
      </c>
    </row>
    <row r="218" spans="1:12" x14ac:dyDescent="0.3">
      <c r="A218" t="s">
        <v>410</v>
      </c>
      <c r="B218" t="s">
        <v>365</v>
      </c>
      <c r="C218" t="s">
        <v>25</v>
      </c>
      <c r="D218" t="s">
        <v>36</v>
      </c>
      <c r="E218" t="s">
        <v>16</v>
      </c>
      <c r="F218" t="s">
        <v>17</v>
      </c>
      <c r="G218">
        <v>2</v>
      </c>
      <c r="H218">
        <v>15000</v>
      </c>
      <c r="I218">
        <v>11000</v>
      </c>
      <c r="J218">
        <v>30000</v>
      </c>
      <c r="K218">
        <v>22000</v>
      </c>
      <c r="L218">
        <v>8000</v>
      </c>
    </row>
    <row r="219" spans="1:12" x14ac:dyDescent="0.3">
      <c r="A219" t="s">
        <v>411</v>
      </c>
      <c r="B219" t="s">
        <v>412</v>
      </c>
      <c r="C219" t="s">
        <v>30</v>
      </c>
      <c r="D219" t="s">
        <v>26</v>
      </c>
      <c r="E219" t="s">
        <v>62</v>
      </c>
      <c r="F219" t="s">
        <v>17</v>
      </c>
      <c r="G219">
        <v>2</v>
      </c>
      <c r="H219">
        <v>50000</v>
      </c>
      <c r="I219">
        <v>40000</v>
      </c>
      <c r="J219">
        <v>100000</v>
      </c>
      <c r="K219">
        <v>80000</v>
      </c>
      <c r="L219">
        <v>20000</v>
      </c>
    </row>
    <row r="220" spans="1:12" x14ac:dyDescent="0.3">
      <c r="A220" t="s">
        <v>413</v>
      </c>
      <c r="B220" t="s">
        <v>414</v>
      </c>
      <c r="C220" t="s">
        <v>14</v>
      </c>
      <c r="D220" t="s">
        <v>15</v>
      </c>
      <c r="E220" t="s">
        <v>21</v>
      </c>
      <c r="F220" t="s">
        <v>22</v>
      </c>
      <c r="G220">
        <v>10</v>
      </c>
      <c r="H220">
        <v>2000</v>
      </c>
      <c r="I220">
        <v>1200</v>
      </c>
      <c r="J220">
        <v>20000</v>
      </c>
      <c r="K220">
        <v>12000</v>
      </c>
      <c r="L220">
        <v>8000</v>
      </c>
    </row>
    <row r="221" spans="1:12" x14ac:dyDescent="0.3">
      <c r="A221" t="s">
        <v>415</v>
      </c>
      <c r="B221" t="s">
        <v>416</v>
      </c>
      <c r="C221" t="s">
        <v>51</v>
      </c>
      <c r="D221" t="s">
        <v>26</v>
      </c>
      <c r="E221" t="s">
        <v>46</v>
      </c>
      <c r="F221" t="s">
        <v>17</v>
      </c>
      <c r="G221">
        <v>9</v>
      </c>
      <c r="H221">
        <v>20000</v>
      </c>
      <c r="I221">
        <v>15000</v>
      </c>
      <c r="J221">
        <v>180000</v>
      </c>
      <c r="K221">
        <v>135000</v>
      </c>
      <c r="L221">
        <v>45000</v>
      </c>
    </row>
    <row r="222" spans="1:12" x14ac:dyDescent="0.3">
      <c r="A222" t="s">
        <v>417</v>
      </c>
      <c r="B222" t="s">
        <v>220</v>
      </c>
      <c r="C222" t="s">
        <v>39</v>
      </c>
      <c r="D222" t="s">
        <v>15</v>
      </c>
      <c r="E222" t="s">
        <v>62</v>
      </c>
      <c r="F222" t="s">
        <v>17</v>
      </c>
      <c r="G222">
        <v>5</v>
      </c>
      <c r="H222">
        <v>50000</v>
      </c>
      <c r="I222">
        <v>40000</v>
      </c>
      <c r="J222">
        <v>250000</v>
      </c>
      <c r="K222">
        <v>200000</v>
      </c>
      <c r="L222">
        <v>50000</v>
      </c>
    </row>
    <row r="223" spans="1:12" x14ac:dyDescent="0.3">
      <c r="A223" t="s">
        <v>418</v>
      </c>
      <c r="B223" t="s">
        <v>419</v>
      </c>
      <c r="C223" t="s">
        <v>42</v>
      </c>
      <c r="D223" t="s">
        <v>31</v>
      </c>
      <c r="E223" t="s">
        <v>16</v>
      </c>
      <c r="F223" t="s">
        <v>17</v>
      </c>
      <c r="G223">
        <v>5</v>
      </c>
      <c r="H223">
        <v>15000</v>
      </c>
      <c r="I223">
        <v>11000</v>
      </c>
      <c r="J223">
        <v>75000</v>
      </c>
      <c r="K223">
        <v>55000</v>
      </c>
      <c r="L223">
        <v>20000</v>
      </c>
    </row>
    <row r="224" spans="1:12" x14ac:dyDescent="0.3">
      <c r="A224" t="s">
        <v>420</v>
      </c>
      <c r="B224" t="s">
        <v>59</v>
      </c>
      <c r="C224" t="s">
        <v>56</v>
      </c>
      <c r="D224" t="s">
        <v>26</v>
      </c>
      <c r="E224" t="s">
        <v>62</v>
      </c>
      <c r="F224" t="s">
        <v>17</v>
      </c>
      <c r="G224">
        <v>5</v>
      </c>
      <c r="H224">
        <v>50000</v>
      </c>
      <c r="I224">
        <v>40000</v>
      </c>
      <c r="J224">
        <v>250000</v>
      </c>
      <c r="K224">
        <v>200000</v>
      </c>
      <c r="L224">
        <v>50000</v>
      </c>
    </row>
    <row r="225" spans="1:12" x14ac:dyDescent="0.3">
      <c r="A225" t="s">
        <v>421</v>
      </c>
      <c r="B225" t="s">
        <v>332</v>
      </c>
      <c r="C225" t="s">
        <v>56</v>
      </c>
      <c r="D225" t="s">
        <v>15</v>
      </c>
      <c r="E225" t="s">
        <v>16</v>
      </c>
      <c r="F225" t="s">
        <v>17</v>
      </c>
      <c r="G225">
        <v>3</v>
      </c>
      <c r="H225">
        <v>15000</v>
      </c>
      <c r="I225">
        <v>11000</v>
      </c>
      <c r="J225">
        <v>45000</v>
      </c>
      <c r="K225">
        <v>33000</v>
      </c>
      <c r="L225">
        <v>12000</v>
      </c>
    </row>
    <row r="226" spans="1:12" x14ac:dyDescent="0.3">
      <c r="A226" t="s">
        <v>422</v>
      </c>
      <c r="B226" t="s">
        <v>423</v>
      </c>
      <c r="C226" t="s">
        <v>42</v>
      </c>
      <c r="D226" t="s">
        <v>31</v>
      </c>
      <c r="E226" t="s">
        <v>46</v>
      </c>
      <c r="F226" t="s">
        <v>17</v>
      </c>
      <c r="G226">
        <v>7</v>
      </c>
      <c r="H226">
        <v>20000</v>
      </c>
      <c r="I226">
        <v>15000</v>
      </c>
      <c r="J226">
        <v>140000</v>
      </c>
      <c r="K226">
        <v>105000</v>
      </c>
      <c r="L226">
        <v>35000</v>
      </c>
    </row>
    <row r="227" spans="1:12" x14ac:dyDescent="0.3">
      <c r="A227" t="s">
        <v>424</v>
      </c>
      <c r="B227" t="s">
        <v>425</v>
      </c>
      <c r="C227" t="s">
        <v>56</v>
      </c>
      <c r="D227" t="s">
        <v>31</v>
      </c>
      <c r="E227" t="s">
        <v>46</v>
      </c>
      <c r="F227" t="s">
        <v>17</v>
      </c>
      <c r="G227">
        <v>2</v>
      </c>
      <c r="H227">
        <v>20000</v>
      </c>
      <c r="I227">
        <v>15000</v>
      </c>
      <c r="J227">
        <v>40000</v>
      </c>
      <c r="K227">
        <v>30000</v>
      </c>
      <c r="L227">
        <v>10000</v>
      </c>
    </row>
    <row r="228" spans="1:12" x14ac:dyDescent="0.3">
      <c r="A228" t="s">
        <v>426</v>
      </c>
      <c r="B228" t="s">
        <v>258</v>
      </c>
      <c r="C228" t="s">
        <v>45</v>
      </c>
      <c r="D228" t="s">
        <v>31</v>
      </c>
      <c r="E228" t="s">
        <v>16</v>
      </c>
      <c r="F228" t="s">
        <v>17</v>
      </c>
      <c r="G228">
        <v>9</v>
      </c>
      <c r="H228">
        <v>15000</v>
      </c>
      <c r="I228">
        <v>11000</v>
      </c>
      <c r="J228">
        <v>135000</v>
      </c>
      <c r="K228">
        <v>99000</v>
      </c>
      <c r="L228">
        <v>36000</v>
      </c>
    </row>
    <row r="229" spans="1:12" x14ac:dyDescent="0.3">
      <c r="A229" t="s">
        <v>427</v>
      </c>
      <c r="B229" t="s">
        <v>396</v>
      </c>
      <c r="C229" t="s">
        <v>20</v>
      </c>
      <c r="D229" t="s">
        <v>31</v>
      </c>
      <c r="E229" t="s">
        <v>21</v>
      </c>
      <c r="F229" t="s">
        <v>22</v>
      </c>
      <c r="G229">
        <v>7</v>
      </c>
      <c r="H229">
        <v>2000</v>
      </c>
      <c r="I229">
        <v>1200</v>
      </c>
      <c r="J229">
        <v>14000</v>
      </c>
      <c r="K229">
        <v>8400</v>
      </c>
      <c r="L229">
        <v>5600</v>
      </c>
    </row>
    <row r="230" spans="1:12" x14ac:dyDescent="0.3">
      <c r="A230" t="s">
        <v>428</v>
      </c>
      <c r="B230" t="s">
        <v>429</v>
      </c>
      <c r="C230" t="s">
        <v>71</v>
      </c>
      <c r="D230" t="s">
        <v>36</v>
      </c>
      <c r="E230" t="s">
        <v>62</v>
      </c>
      <c r="F230" t="s">
        <v>17</v>
      </c>
      <c r="G230">
        <v>10</v>
      </c>
      <c r="H230">
        <v>50000</v>
      </c>
      <c r="I230">
        <v>40000</v>
      </c>
      <c r="J230">
        <v>500000</v>
      </c>
      <c r="K230">
        <v>400000</v>
      </c>
      <c r="L230">
        <v>100000</v>
      </c>
    </row>
    <row r="231" spans="1:12" x14ac:dyDescent="0.3">
      <c r="A231" t="s">
        <v>430</v>
      </c>
      <c r="B231" t="s">
        <v>64</v>
      </c>
      <c r="C231" t="s">
        <v>39</v>
      </c>
      <c r="D231" t="s">
        <v>31</v>
      </c>
      <c r="E231" t="s">
        <v>62</v>
      </c>
      <c r="F231" t="s">
        <v>17</v>
      </c>
      <c r="G231">
        <v>5</v>
      </c>
      <c r="H231">
        <v>50000</v>
      </c>
      <c r="I231">
        <v>40000</v>
      </c>
      <c r="J231">
        <v>250000</v>
      </c>
      <c r="K231">
        <v>200000</v>
      </c>
      <c r="L231">
        <v>50000</v>
      </c>
    </row>
    <row r="232" spans="1:12" x14ac:dyDescent="0.3">
      <c r="A232" t="s">
        <v>431</v>
      </c>
      <c r="B232" t="s">
        <v>38</v>
      </c>
      <c r="C232" t="s">
        <v>39</v>
      </c>
      <c r="D232" t="s">
        <v>36</v>
      </c>
      <c r="E232" t="s">
        <v>62</v>
      </c>
      <c r="F232" t="s">
        <v>17</v>
      </c>
      <c r="G232">
        <v>2</v>
      </c>
      <c r="H232">
        <v>50000</v>
      </c>
      <c r="I232">
        <v>40000</v>
      </c>
      <c r="J232">
        <v>100000</v>
      </c>
      <c r="K232">
        <v>80000</v>
      </c>
      <c r="L232">
        <v>20000</v>
      </c>
    </row>
    <row r="233" spans="1:12" x14ac:dyDescent="0.3">
      <c r="A233" t="s">
        <v>432</v>
      </c>
      <c r="B233" t="s">
        <v>433</v>
      </c>
      <c r="C233" t="s">
        <v>25</v>
      </c>
      <c r="D233" t="s">
        <v>31</v>
      </c>
      <c r="E233" t="s">
        <v>21</v>
      </c>
      <c r="F233" t="s">
        <v>22</v>
      </c>
      <c r="G233">
        <v>8</v>
      </c>
      <c r="H233">
        <v>2000</v>
      </c>
      <c r="I233">
        <v>1200</v>
      </c>
      <c r="J233">
        <v>16000</v>
      </c>
      <c r="K233">
        <v>9600</v>
      </c>
      <c r="L233">
        <v>6400</v>
      </c>
    </row>
    <row r="234" spans="1:12" x14ac:dyDescent="0.3">
      <c r="A234" t="s">
        <v>434</v>
      </c>
      <c r="B234" t="s">
        <v>365</v>
      </c>
      <c r="C234" t="s">
        <v>25</v>
      </c>
      <c r="D234" t="s">
        <v>26</v>
      </c>
      <c r="E234" t="s">
        <v>21</v>
      </c>
      <c r="F234" t="s">
        <v>22</v>
      </c>
      <c r="G234">
        <v>6</v>
      </c>
      <c r="H234">
        <v>2000</v>
      </c>
      <c r="I234">
        <v>1200</v>
      </c>
      <c r="J234">
        <v>12000</v>
      </c>
      <c r="K234">
        <v>7200</v>
      </c>
      <c r="L234">
        <v>4800</v>
      </c>
    </row>
    <row r="235" spans="1:12" x14ac:dyDescent="0.3">
      <c r="A235" t="s">
        <v>435</v>
      </c>
      <c r="B235" t="s">
        <v>146</v>
      </c>
      <c r="C235" t="s">
        <v>121</v>
      </c>
      <c r="D235" t="s">
        <v>15</v>
      </c>
      <c r="E235" t="s">
        <v>62</v>
      </c>
      <c r="F235" t="s">
        <v>17</v>
      </c>
      <c r="G235">
        <v>2</v>
      </c>
      <c r="H235">
        <v>50000</v>
      </c>
      <c r="I235">
        <v>40000</v>
      </c>
      <c r="J235">
        <v>100000</v>
      </c>
      <c r="K235">
        <v>80000</v>
      </c>
      <c r="L235">
        <v>20000</v>
      </c>
    </row>
    <row r="236" spans="1:12" x14ac:dyDescent="0.3">
      <c r="A236" t="s">
        <v>436</v>
      </c>
      <c r="B236" t="s">
        <v>44</v>
      </c>
      <c r="C236" t="s">
        <v>45</v>
      </c>
      <c r="D236" t="s">
        <v>26</v>
      </c>
      <c r="E236" t="s">
        <v>21</v>
      </c>
      <c r="F236" t="s">
        <v>22</v>
      </c>
      <c r="G236">
        <v>3</v>
      </c>
      <c r="H236">
        <v>2000</v>
      </c>
      <c r="I236">
        <v>1200</v>
      </c>
      <c r="J236">
        <v>6000</v>
      </c>
      <c r="K236">
        <v>3600</v>
      </c>
      <c r="L236">
        <v>2400</v>
      </c>
    </row>
    <row r="237" spans="1:12" x14ac:dyDescent="0.3">
      <c r="A237" t="s">
        <v>437</v>
      </c>
      <c r="B237" t="s">
        <v>348</v>
      </c>
      <c r="C237" t="s">
        <v>71</v>
      </c>
      <c r="D237" t="s">
        <v>26</v>
      </c>
      <c r="E237" t="s">
        <v>46</v>
      </c>
      <c r="F237" t="s">
        <v>17</v>
      </c>
      <c r="G237">
        <v>5</v>
      </c>
      <c r="H237">
        <v>20000</v>
      </c>
      <c r="I237">
        <v>15000</v>
      </c>
      <c r="J237">
        <v>100000</v>
      </c>
      <c r="K237">
        <v>75000</v>
      </c>
      <c r="L237">
        <v>25000</v>
      </c>
    </row>
    <row r="238" spans="1:12" x14ac:dyDescent="0.3">
      <c r="A238" t="s">
        <v>438</v>
      </c>
      <c r="B238" t="s">
        <v>439</v>
      </c>
      <c r="C238" t="s">
        <v>25</v>
      </c>
      <c r="D238" t="s">
        <v>26</v>
      </c>
      <c r="E238" t="s">
        <v>46</v>
      </c>
      <c r="F238" t="s">
        <v>17</v>
      </c>
      <c r="G238">
        <v>5</v>
      </c>
      <c r="H238">
        <v>20000</v>
      </c>
      <c r="I238">
        <v>15000</v>
      </c>
      <c r="J238">
        <v>100000</v>
      </c>
      <c r="K238">
        <v>75000</v>
      </c>
      <c r="L238">
        <v>25000</v>
      </c>
    </row>
    <row r="239" spans="1:12" x14ac:dyDescent="0.3">
      <c r="A239" t="s">
        <v>440</v>
      </c>
      <c r="B239" t="s">
        <v>441</v>
      </c>
      <c r="C239" t="s">
        <v>25</v>
      </c>
      <c r="D239" t="s">
        <v>31</v>
      </c>
      <c r="E239" t="s">
        <v>27</v>
      </c>
      <c r="F239" t="s">
        <v>17</v>
      </c>
      <c r="G239">
        <v>7</v>
      </c>
      <c r="H239">
        <v>30000</v>
      </c>
      <c r="I239">
        <v>24000</v>
      </c>
      <c r="J239">
        <v>210000</v>
      </c>
      <c r="K239">
        <v>168000</v>
      </c>
      <c r="L239">
        <v>42000</v>
      </c>
    </row>
    <row r="240" spans="1:12" x14ac:dyDescent="0.3">
      <c r="A240" t="s">
        <v>442</v>
      </c>
      <c r="B240" t="s">
        <v>378</v>
      </c>
      <c r="C240" t="s">
        <v>51</v>
      </c>
      <c r="D240" t="s">
        <v>31</v>
      </c>
      <c r="E240" t="s">
        <v>27</v>
      </c>
      <c r="F240" t="s">
        <v>17</v>
      </c>
      <c r="G240">
        <v>8</v>
      </c>
      <c r="H240">
        <v>30000</v>
      </c>
      <c r="I240">
        <v>24000</v>
      </c>
      <c r="J240">
        <v>240000</v>
      </c>
      <c r="K240">
        <v>192000</v>
      </c>
      <c r="L240">
        <v>48000</v>
      </c>
    </row>
    <row r="241" spans="1:12" x14ac:dyDescent="0.3">
      <c r="A241" t="s">
        <v>443</v>
      </c>
      <c r="B241" t="s">
        <v>396</v>
      </c>
      <c r="C241" t="s">
        <v>20</v>
      </c>
      <c r="D241" t="s">
        <v>26</v>
      </c>
      <c r="E241" t="s">
        <v>46</v>
      </c>
      <c r="F241" t="s">
        <v>17</v>
      </c>
      <c r="G241">
        <v>9</v>
      </c>
      <c r="H241">
        <v>20000</v>
      </c>
      <c r="I241">
        <v>15000</v>
      </c>
      <c r="J241">
        <v>180000</v>
      </c>
      <c r="K241">
        <v>135000</v>
      </c>
      <c r="L241">
        <v>45000</v>
      </c>
    </row>
    <row r="242" spans="1:12" x14ac:dyDescent="0.3">
      <c r="A242" t="s">
        <v>444</v>
      </c>
      <c r="B242" t="s">
        <v>445</v>
      </c>
      <c r="C242" t="s">
        <v>90</v>
      </c>
      <c r="D242" t="s">
        <v>36</v>
      </c>
      <c r="E242" t="s">
        <v>27</v>
      </c>
      <c r="F242" t="s">
        <v>17</v>
      </c>
      <c r="G242">
        <v>6</v>
      </c>
      <c r="H242">
        <v>30000</v>
      </c>
      <c r="I242">
        <v>24000</v>
      </c>
      <c r="J242">
        <v>180000</v>
      </c>
      <c r="K242">
        <v>144000</v>
      </c>
      <c r="L242">
        <v>36000</v>
      </c>
    </row>
    <row r="243" spans="1:12" x14ac:dyDescent="0.3">
      <c r="A243" t="s">
        <v>446</v>
      </c>
      <c r="B243" t="s">
        <v>447</v>
      </c>
      <c r="C243" t="s">
        <v>45</v>
      </c>
      <c r="D243" t="s">
        <v>26</v>
      </c>
      <c r="E243" t="s">
        <v>21</v>
      </c>
      <c r="F243" t="s">
        <v>22</v>
      </c>
      <c r="G243">
        <v>7</v>
      </c>
      <c r="H243">
        <v>2000</v>
      </c>
      <c r="I243">
        <v>1200</v>
      </c>
      <c r="J243">
        <v>14000</v>
      </c>
      <c r="K243">
        <v>8400</v>
      </c>
      <c r="L243">
        <v>5600</v>
      </c>
    </row>
    <row r="244" spans="1:12" x14ac:dyDescent="0.3">
      <c r="A244" t="s">
        <v>448</v>
      </c>
      <c r="B244" t="s">
        <v>449</v>
      </c>
      <c r="C244" t="s">
        <v>14</v>
      </c>
      <c r="D244" t="s">
        <v>26</v>
      </c>
      <c r="E244" t="s">
        <v>21</v>
      </c>
      <c r="F244" t="s">
        <v>22</v>
      </c>
      <c r="G244">
        <v>4</v>
      </c>
      <c r="H244">
        <v>2000</v>
      </c>
      <c r="I244">
        <v>1200</v>
      </c>
      <c r="J244">
        <v>8000</v>
      </c>
      <c r="K244">
        <v>4800</v>
      </c>
      <c r="L244">
        <v>3200</v>
      </c>
    </row>
    <row r="245" spans="1:12" x14ac:dyDescent="0.3">
      <c r="A245" t="s">
        <v>450</v>
      </c>
      <c r="B245" t="s">
        <v>205</v>
      </c>
      <c r="C245" t="s">
        <v>56</v>
      </c>
      <c r="D245" t="s">
        <v>31</v>
      </c>
      <c r="E245" t="s">
        <v>16</v>
      </c>
      <c r="F245" t="s">
        <v>17</v>
      </c>
      <c r="G245">
        <v>1</v>
      </c>
      <c r="H245">
        <v>15000</v>
      </c>
      <c r="I245">
        <v>11000</v>
      </c>
      <c r="J245">
        <v>15000</v>
      </c>
      <c r="K245">
        <v>11000</v>
      </c>
      <c r="L245">
        <v>4000</v>
      </c>
    </row>
    <row r="246" spans="1:12" x14ac:dyDescent="0.3">
      <c r="A246" t="s">
        <v>451</v>
      </c>
      <c r="B246" t="s">
        <v>452</v>
      </c>
      <c r="C246" t="s">
        <v>39</v>
      </c>
      <c r="D246" t="s">
        <v>15</v>
      </c>
      <c r="E246" t="s">
        <v>21</v>
      </c>
      <c r="F246" t="s">
        <v>22</v>
      </c>
      <c r="G246">
        <v>10</v>
      </c>
      <c r="H246">
        <v>2000</v>
      </c>
      <c r="I246">
        <v>1200</v>
      </c>
      <c r="J246">
        <v>20000</v>
      </c>
      <c r="K246">
        <v>12000</v>
      </c>
      <c r="L246">
        <v>8000</v>
      </c>
    </row>
    <row r="247" spans="1:12" x14ac:dyDescent="0.3">
      <c r="A247" t="s">
        <v>453</v>
      </c>
      <c r="B247" t="s">
        <v>348</v>
      </c>
      <c r="C247" t="s">
        <v>71</v>
      </c>
      <c r="D247" t="s">
        <v>26</v>
      </c>
      <c r="E247" t="s">
        <v>46</v>
      </c>
      <c r="F247" t="s">
        <v>17</v>
      </c>
      <c r="G247">
        <v>9</v>
      </c>
      <c r="H247">
        <v>20000</v>
      </c>
      <c r="I247">
        <v>15000</v>
      </c>
      <c r="J247">
        <v>180000</v>
      </c>
      <c r="K247">
        <v>135000</v>
      </c>
      <c r="L247">
        <v>45000</v>
      </c>
    </row>
    <row r="248" spans="1:12" x14ac:dyDescent="0.3">
      <c r="A248" t="s">
        <v>454</v>
      </c>
      <c r="B248" t="s">
        <v>248</v>
      </c>
      <c r="C248" t="s">
        <v>45</v>
      </c>
      <c r="D248" t="s">
        <v>36</v>
      </c>
      <c r="E248" t="s">
        <v>62</v>
      </c>
      <c r="F248" t="s">
        <v>17</v>
      </c>
      <c r="G248">
        <v>7</v>
      </c>
      <c r="H248">
        <v>50000</v>
      </c>
      <c r="I248">
        <v>40000</v>
      </c>
      <c r="J248">
        <v>350000</v>
      </c>
      <c r="K248">
        <v>280000</v>
      </c>
      <c r="L248">
        <v>70000</v>
      </c>
    </row>
    <row r="249" spans="1:12" x14ac:dyDescent="0.3">
      <c r="A249" t="s">
        <v>455</v>
      </c>
      <c r="B249" t="s">
        <v>456</v>
      </c>
      <c r="C249" t="s">
        <v>56</v>
      </c>
      <c r="D249" t="s">
        <v>15</v>
      </c>
      <c r="E249" t="s">
        <v>46</v>
      </c>
      <c r="F249" t="s">
        <v>17</v>
      </c>
      <c r="G249">
        <v>4</v>
      </c>
      <c r="H249">
        <v>20000</v>
      </c>
      <c r="I249">
        <v>15000</v>
      </c>
      <c r="J249">
        <v>80000</v>
      </c>
      <c r="K249">
        <v>60000</v>
      </c>
      <c r="L249">
        <v>20000</v>
      </c>
    </row>
    <row r="250" spans="1:12" x14ac:dyDescent="0.3">
      <c r="A250" t="s">
        <v>457</v>
      </c>
      <c r="B250" t="s">
        <v>458</v>
      </c>
      <c r="C250" t="s">
        <v>51</v>
      </c>
      <c r="D250" t="s">
        <v>26</v>
      </c>
      <c r="E250" t="s">
        <v>16</v>
      </c>
      <c r="F250" t="s">
        <v>17</v>
      </c>
      <c r="G250">
        <v>8</v>
      </c>
      <c r="H250">
        <v>15000</v>
      </c>
      <c r="I250">
        <v>11000</v>
      </c>
      <c r="J250">
        <v>120000</v>
      </c>
      <c r="K250">
        <v>88000</v>
      </c>
      <c r="L250">
        <v>32000</v>
      </c>
    </row>
    <row r="251" spans="1:12" x14ac:dyDescent="0.3">
      <c r="A251" t="s">
        <v>459</v>
      </c>
      <c r="B251" t="s">
        <v>295</v>
      </c>
      <c r="C251" t="s">
        <v>71</v>
      </c>
      <c r="D251" t="s">
        <v>26</v>
      </c>
      <c r="E251" t="s">
        <v>16</v>
      </c>
      <c r="F251" t="s">
        <v>17</v>
      </c>
      <c r="G251">
        <v>10</v>
      </c>
      <c r="H251">
        <v>15000</v>
      </c>
      <c r="I251">
        <v>11000</v>
      </c>
      <c r="J251">
        <v>150000</v>
      </c>
      <c r="K251">
        <v>110000</v>
      </c>
      <c r="L251">
        <v>40000</v>
      </c>
    </row>
    <row r="252" spans="1:12" x14ac:dyDescent="0.3">
      <c r="A252" t="s">
        <v>460</v>
      </c>
      <c r="B252" t="s">
        <v>356</v>
      </c>
      <c r="C252" t="s">
        <v>20</v>
      </c>
      <c r="D252" t="s">
        <v>31</v>
      </c>
      <c r="E252" t="s">
        <v>46</v>
      </c>
      <c r="F252" t="s">
        <v>17</v>
      </c>
      <c r="G252">
        <v>7</v>
      </c>
      <c r="H252">
        <v>20000</v>
      </c>
      <c r="I252">
        <v>15000</v>
      </c>
      <c r="J252">
        <v>140000</v>
      </c>
      <c r="K252">
        <v>105000</v>
      </c>
      <c r="L252">
        <v>35000</v>
      </c>
    </row>
    <row r="253" spans="1:12" x14ac:dyDescent="0.3">
      <c r="A253" t="s">
        <v>461</v>
      </c>
      <c r="B253" t="s">
        <v>462</v>
      </c>
      <c r="C253" t="s">
        <v>14</v>
      </c>
      <c r="D253" t="s">
        <v>26</v>
      </c>
      <c r="E253" t="s">
        <v>46</v>
      </c>
      <c r="F253" t="s">
        <v>17</v>
      </c>
      <c r="G253">
        <v>5</v>
      </c>
      <c r="H253">
        <v>20000</v>
      </c>
      <c r="I253">
        <v>15000</v>
      </c>
      <c r="J253">
        <v>100000</v>
      </c>
      <c r="K253">
        <v>75000</v>
      </c>
      <c r="L253">
        <v>25000</v>
      </c>
    </row>
    <row r="254" spans="1:12" x14ac:dyDescent="0.3">
      <c r="A254" t="s">
        <v>463</v>
      </c>
      <c r="B254" t="s">
        <v>292</v>
      </c>
      <c r="C254" t="s">
        <v>90</v>
      </c>
      <c r="D254" t="s">
        <v>15</v>
      </c>
      <c r="E254" t="s">
        <v>62</v>
      </c>
      <c r="F254" t="s">
        <v>17</v>
      </c>
      <c r="G254">
        <v>5</v>
      </c>
      <c r="H254">
        <v>50000</v>
      </c>
      <c r="I254">
        <v>40000</v>
      </c>
      <c r="J254">
        <v>250000</v>
      </c>
      <c r="K254">
        <v>200000</v>
      </c>
      <c r="L254">
        <v>50000</v>
      </c>
    </row>
    <row r="255" spans="1:12" x14ac:dyDescent="0.3">
      <c r="A255" t="s">
        <v>464</v>
      </c>
      <c r="B255" t="s">
        <v>199</v>
      </c>
      <c r="C255" t="s">
        <v>39</v>
      </c>
      <c r="D255" t="s">
        <v>31</v>
      </c>
      <c r="E255" t="s">
        <v>21</v>
      </c>
      <c r="F255" t="s">
        <v>22</v>
      </c>
      <c r="G255">
        <v>10</v>
      </c>
      <c r="H255">
        <v>2000</v>
      </c>
      <c r="I255">
        <v>1200</v>
      </c>
      <c r="J255">
        <v>20000</v>
      </c>
      <c r="K255">
        <v>12000</v>
      </c>
      <c r="L255">
        <v>8000</v>
      </c>
    </row>
    <row r="256" spans="1:12" x14ac:dyDescent="0.3">
      <c r="A256" t="s">
        <v>465</v>
      </c>
      <c r="B256" t="s">
        <v>466</v>
      </c>
      <c r="C256" t="s">
        <v>25</v>
      </c>
      <c r="D256" t="s">
        <v>26</v>
      </c>
      <c r="E256" t="s">
        <v>46</v>
      </c>
      <c r="F256" t="s">
        <v>17</v>
      </c>
      <c r="G256">
        <v>9</v>
      </c>
      <c r="H256">
        <v>20000</v>
      </c>
      <c r="I256">
        <v>15000</v>
      </c>
      <c r="J256">
        <v>180000</v>
      </c>
      <c r="K256">
        <v>135000</v>
      </c>
      <c r="L256">
        <v>45000</v>
      </c>
    </row>
    <row r="257" spans="1:12" x14ac:dyDescent="0.3">
      <c r="A257" t="s">
        <v>467</v>
      </c>
      <c r="B257" t="s">
        <v>468</v>
      </c>
      <c r="C257" t="s">
        <v>45</v>
      </c>
      <c r="D257" t="s">
        <v>26</v>
      </c>
      <c r="E257" t="s">
        <v>21</v>
      </c>
      <c r="F257" t="s">
        <v>22</v>
      </c>
      <c r="G257">
        <v>4</v>
      </c>
      <c r="H257">
        <v>2000</v>
      </c>
      <c r="I257">
        <v>1200</v>
      </c>
      <c r="J257">
        <v>8000</v>
      </c>
      <c r="K257">
        <v>4800</v>
      </c>
      <c r="L257">
        <v>3200</v>
      </c>
    </row>
    <row r="258" spans="1:12" x14ac:dyDescent="0.3">
      <c r="A258" t="s">
        <v>469</v>
      </c>
      <c r="B258" t="s">
        <v>396</v>
      </c>
      <c r="C258" t="s">
        <v>20</v>
      </c>
      <c r="D258" t="s">
        <v>26</v>
      </c>
      <c r="E258" t="s">
        <v>62</v>
      </c>
      <c r="F258" t="s">
        <v>17</v>
      </c>
      <c r="G258">
        <v>5</v>
      </c>
      <c r="H258">
        <v>50000</v>
      </c>
      <c r="I258">
        <v>40000</v>
      </c>
      <c r="J258">
        <v>250000</v>
      </c>
      <c r="K258">
        <v>200000</v>
      </c>
      <c r="L258">
        <v>50000</v>
      </c>
    </row>
    <row r="259" spans="1:12" x14ac:dyDescent="0.3">
      <c r="A259" t="s">
        <v>470</v>
      </c>
      <c r="B259" t="s">
        <v>429</v>
      </c>
      <c r="C259" t="s">
        <v>71</v>
      </c>
      <c r="D259" t="s">
        <v>36</v>
      </c>
      <c r="E259" t="s">
        <v>27</v>
      </c>
      <c r="F259" t="s">
        <v>17</v>
      </c>
      <c r="G259">
        <v>2</v>
      </c>
      <c r="H259">
        <v>30000</v>
      </c>
      <c r="I259">
        <v>24000</v>
      </c>
      <c r="J259">
        <v>60000</v>
      </c>
      <c r="K259">
        <v>48000</v>
      </c>
      <c r="L259">
        <v>12000</v>
      </c>
    </row>
    <row r="260" spans="1:12" x14ac:dyDescent="0.3">
      <c r="A260" t="s">
        <v>471</v>
      </c>
      <c r="B260" t="s">
        <v>472</v>
      </c>
      <c r="C260" t="s">
        <v>20</v>
      </c>
      <c r="D260" t="s">
        <v>36</v>
      </c>
      <c r="E260" t="s">
        <v>46</v>
      </c>
      <c r="F260" t="s">
        <v>17</v>
      </c>
      <c r="G260">
        <v>10</v>
      </c>
      <c r="H260">
        <v>20000</v>
      </c>
      <c r="I260">
        <v>15000</v>
      </c>
      <c r="J260">
        <v>200000</v>
      </c>
      <c r="K260">
        <v>150000</v>
      </c>
      <c r="L260">
        <v>50000</v>
      </c>
    </row>
    <row r="261" spans="1:12" x14ac:dyDescent="0.3">
      <c r="A261" t="s">
        <v>473</v>
      </c>
      <c r="B261" t="s">
        <v>242</v>
      </c>
      <c r="C261" t="s">
        <v>30</v>
      </c>
      <c r="D261" t="s">
        <v>36</v>
      </c>
      <c r="E261" t="s">
        <v>62</v>
      </c>
      <c r="F261" t="s">
        <v>17</v>
      </c>
      <c r="G261">
        <v>1</v>
      </c>
      <c r="H261">
        <v>50000</v>
      </c>
      <c r="I261">
        <v>40000</v>
      </c>
      <c r="J261">
        <v>50000</v>
      </c>
      <c r="K261">
        <v>40000</v>
      </c>
      <c r="L261">
        <v>10000</v>
      </c>
    </row>
    <row r="262" spans="1:12" x14ac:dyDescent="0.3">
      <c r="A262" t="s">
        <v>474</v>
      </c>
      <c r="B262" t="s">
        <v>268</v>
      </c>
      <c r="C262" t="s">
        <v>90</v>
      </c>
      <c r="D262" t="s">
        <v>36</v>
      </c>
      <c r="E262" t="s">
        <v>46</v>
      </c>
      <c r="F262" t="s">
        <v>17</v>
      </c>
      <c r="G262">
        <v>7</v>
      </c>
      <c r="H262">
        <v>20000</v>
      </c>
      <c r="I262">
        <v>15000</v>
      </c>
      <c r="J262">
        <v>140000</v>
      </c>
      <c r="K262">
        <v>105000</v>
      </c>
      <c r="L262">
        <v>35000</v>
      </c>
    </row>
    <row r="263" spans="1:12" x14ac:dyDescent="0.3">
      <c r="A263" t="s">
        <v>475</v>
      </c>
      <c r="B263" t="s">
        <v>476</v>
      </c>
      <c r="C263" t="s">
        <v>51</v>
      </c>
      <c r="D263" t="s">
        <v>26</v>
      </c>
      <c r="E263" t="s">
        <v>27</v>
      </c>
      <c r="F263" t="s">
        <v>17</v>
      </c>
      <c r="G263">
        <v>10</v>
      </c>
      <c r="H263">
        <v>30000</v>
      </c>
      <c r="I263">
        <v>24000</v>
      </c>
      <c r="J263">
        <v>300000</v>
      </c>
      <c r="K263">
        <v>240000</v>
      </c>
      <c r="L263">
        <v>60000</v>
      </c>
    </row>
    <row r="264" spans="1:12" x14ac:dyDescent="0.3">
      <c r="A264" t="s">
        <v>477</v>
      </c>
      <c r="B264" t="s">
        <v>478</v>
      </c>
      <c r="C264" t="s">
        <v>42</v>
      </c>
      <c r="D264" t="s">
        <v>31</v>
      </c>
      <c r="E264" t="s">
        <v>62</v>
      </c>
      <c r="F264" t="s">
        <v>17</v>
      </c>
      <c r="G264">
        <v>8</v>
      </c>
      <c r="H264">
        <v>50000</v>
      </c>
      <c r="I264">
        <v>40000</v>
      </c>
      <c r="J264">
        <v>400000</v>
      </c>
      <c r="K264">
        <v>320000</v>
      </c>
      <c r="L264">
        <v>80000</v>
      </c>
    </row>
    <row r="265" spans="1:12" x14ac:dyDescent="0.3">
      <c r="A265" t="s">
        <v>479</v>
      </c>
      <c r="B265" t="s">
        <v>480</v>
      </c>
      <c r="C265" t="s">
        <v>25</v>
      </c>
      <c r="D265" t="s">
        <v>31</v>
      </c>
      <c r="E265" t="s">
        <v>46</v>
      </c>
      <c r="F265" t="s">
        <v>17</v>
      </c>
      <c r="G265">
        <v>1</v>
      </c>
      <c r="H265">
        <v>20000</v>
      </c>
      <c r="I265">
        <v>15000</v>
      </c>
      <c r="J265">
        <v>20000</v>
      </c>
      <c r="K265">
        <v>15000</v>
      </c>
      <c r="L265">
        <v>5000</v>
      </c>
    </row>
    <row r="266" spans="1:12" x14ac:dyDescent="0.3">
      <c r="A266" t="s">
        <v>481</v>
      </c>
      <c r="B266" t="s">
        <v>482</v>
      </c>
      <c r="C266" t="s">
        <v>71</v>
      </c>
      <c r="D266" t="s">
        <v>15</v>
      </c>
      <c r="E266" t="s">
        <v>62</v>
      </c>
      <c r="F266" t="s">
        <v>17</v>
      </c>
      <c r="G266">
        <v>8</v>
      </c>
      <c r="H266">
        <v>50000</v>
      </c>
      <c r="I266">
        <v>40000</v>
      </c>
      <c r="J266">
        <v>400000</v>
      </c>
      <c r="K266">
        <v>320000</v>
      </c>
      <c r="L266">
        <v>80000</v>
      </c>
    </row>
    <row r="267" spans="1:12" x14ac:dyDescent="0.3">
      <c r="A267" t="s">
        <v>483</v>
      </c>
      <c r="B267" t="s">
        <v>484</v>
      </c>
      <c r="C267" t="s">
        <v>45</v>
      </c>
      <c r="D267" t="s">
        <v>26</v>
      </c>
      <c r="E267" t="s">
        <v>16</v>
      </c>
      <c r="F267" t="s">
        <v>17</v>
      </c>
      <c r="G267">
        <v>4</v>
      </c>
      <c r="H267">
        <v>15000</v>
      </c>
      <c r="I267">
        <v>11000</v>
      </c>
      <c r="J267">
        <v>60000</v>
      </c>
      <c r="K267">
        <v>44000</v>
      </c>
      <c r="L267">
        <v>16000</v>
      </c>
    </row>
    <row r="268" spans="1:12" x14ac:dyDescent="0.3">
      <c r="A268" t="s">
        <v>485</v>
      </c>
      <c r="B268" t="s">
        <v>365</v>
      </c>
      <c r="C268" t="s">
        <v>25</v>
      </c>
      <c r="D268" t="s">
        <v>31</v>
      </c>
      <c r="E268" t="s">
        <v>16</v>
      </c>
      <c r="F268" t="s">
        <v>17</v>
      </c>
      <c r="G268">
        <v>2</v>
      </c>
      <c r="H268">
        <v>15000</v>
      </c>
      <c r="I268">
        <v>11000</v>
      </c>
      <c r="J268">
        <v>30000</v>
      </c>
      <c r="K268">
        <v>22000</v>
      </c>
      <c r="L268">
        <v>8000</v>
      </c>
    </row>
    <row r="269" spans="1:12" x14ac:dyDescent="0.3">
      <c r="A269" t="s">
        <v>486</v>
      </c>
      <c r="B269" t="s">
        <v>487</v>
      </c>
      <c r="C269" t="s">
        <v>25</v>
      </c>
      <c r="D269" t="s">
        <v>26</v>
      </c>
      <c r="E269" t="s">
        <v>16</v>
      </c>
      <c r="F269" t="s">
        <v>17</v>
      </c>
      <c r="G269">
        <v>8</v>
      </c>
      <c r="H269">
        <v>15000</v>
      </c>
      <c r="I269">
        <v>11000</v>
      </c>
      <c r="J269">
        <v>120000</v>
      </c>
      <c r="K269">
        <v>88000</v>
      </c>
      <c r="L269">
        <v>32000</v>
      </c>
    </row>
    <row r="270" spans="1:12" x14ac:dyDescent="0.3">
      <c r="A270" t="s">
        <v>488</v>
      </c>
      <c r="B270" t="s">
        <v>391</v>
      </c>
      <c r="C270" t="s">
        <v>56</v>
      </c>
      <c r="D270" t="s">
        <v>36</v>
      </c>
      <c r="E270" t="s">
        <v>27</v>
      </c>
      <c r="F270" t="s">
        <v>17</v>
      </c>
      <c r="G270">
        <v>1</v>
      </c>
      <c r="H270">
        <v>30000</v>
      </c>
      <c r="I270">
        <v>24000</v>
      </c>
      <c r="J270">
        <v>30000</v>
      </c>
      <c r="K270">
        <v>24000</v>
      </c>
      <c r="L270">
        <v>6000</v>
      </c>
    </row>
    <row r="271" spans="1:12" x14ac:dyDescent="0.3">
      <c r="A271" t="s">
        <v>489</v>
      </c>
      <c r="B271" t="s">
        <v>490</v>
      </c>
      <c r="C271" t="s">
        <v>45</v>
      </c>
      <c r="D271" t="s">
        <v>15</v>
      </c>
      <c r="E271" t="s">
        <v>21</v>
      </c>
      <c r="F271" t="s">
        <v>22</v>
      </c>
      <c r="G271">
        <v>3</v>
      </c>
      <c r="H271">
        <v>2000</v>
      </c>
      <c r="I271">
        <v>1200</v>
      </c>
      <c r="J271">
        <v>6000</v>
      </c>
      <c r="K271">
        <v>3600</v>
      </c>
      <c r="L271">
        <v>2400</v>
      </c>
    </row>
    <row r="272" spans="1:12" x14ac:dyDescent="0.3">
      <c r="A272" t="s">
        <v>491</v>
      </c>
      <c r="B272" t="s">
        <v>492</v>
      </c>
      <c r="C272" t="s">
        <v>20</v>
      </c>
      <c r="D272" t="s">
        <v>31</v>
      </c>
      <c r="E272" t="s">
        <v>62</v>
      </c>
      <c r="F272" t="s">
        <v>17</v>
      </c>
      <c r="G272">
        <v>10</v>
      </c>
      <c r="H272">
        <v>50000</v>
      </c>
      <c r="I272">
        <v>40000</v>
      </c>
      <c r="J272">
        <v>500000</v>
      </c>
      <c r="K272">
        <v>400000</v>
      </c>
      <c r="L272">
        <v>100000</v>
      </c>
    </row>
    <row r="273" spans="1:12" x14ac:dyDescent="0.3">
      <c r="A273" t="s">
        <v>493</v>
      </c>
      <c r="B273" t="s">
        <v>494</v>
      </c>
      <c r="C273" t="s">
        <v>42</v>
      </c>
      <c r="D273" t="s">
        <v>26</v>
      </c>
      <c r="E273" t="s">
        <v>27</v>
      </c>
      <c r="F273" t="s">
        <v>17</v>
      </c>
      <c r="G273">
        <v>6</v>
      </c>
      <c r="H273">
        <v>30000</v>
      </c>
      <c r="I273">
        <v>24000</v>
      </c>
      <c r="J273">
        <v>180000</v>
      </c>
      <c r="K273">
        <v>144000</v>
      </c>
      <c r="L273">
        <v>36000</v>
      </c>
    </row>
    <row r="274" spans="1:12" x14ac:dyDescent="0.3">
      <c r="A274" t="s">
        <v>495</v>
      </c>
      <c r="B274" t="s">
        <v>496</v>
      </c>
      <c r="C274" t="s">
        <v>30</v>
      </c>
      <c r="D274" t="s">
        <v>36</v>
      </c>
      <c r="E274" t="s">
        <v>27</v>
      </c>
      <c r="F274" t="s">
        <v>17</v>
      </c>
      <c r="G274">
        <v>8</v>
      </c>
      <c r="H274">
        <v>30000</v>
      </c>
      <c r="I274">
        <v>24000</v>
      </c>
      <c r="J274">
        <v>240000</v>
      </c>
      <c r="K274">
        <v>192000</v>
      </c>
      <c r="L274">
        <v>48000</v>
      </c>
    </row>
    <row r="275" spans="1:12" x14ac:dyDescent="0.3">
      <c r="A275" t="s">
        <v>497</v>
      </c>
      <c r="B275" t="s">
        <v>498</v>
      </c>
      <c r="C275" t="s">
        <v>20</v>
      </c>
      <c r="D275" t="s">
        <v>31</v>
      </c>
      <c r="E275" t="s">
        <v>46</v>
      </c>
      <c r="F275" t="s">
        <v>17</v>
      </c>
      <c r="G275">
        <v>10</v>
      </c>
      <c r="H275">
        <v>20000</v>
      </c>
      <c r="I275">
        <v>15000</v>
      </c>
      <c r="J275">
        <v>200000</v>
      </c>
      <c r="K275">
        <v>150000</v>
      </c>
      <c r="L275">
        <v>50000</v>
      </c>
    </row>
    <row r="276" spans="1:12" x14ac:dyDescent="0.3">
      <c r="A276" t="s">
        <v>499</v>
      </c>
      <c r="B276" t="s">
        <v>55</v>
      </c>
      <c r="C276" t="s">
        <v>56</v>
      </c>
      <c r="D276" t="s">
        <v>15</v>
      </c>
      <c r="E276" t="s">
        <v>27</v>
      </c>
      <c r="F276" t="s">
        <v>17</v>
      </c>
      <c r="G276">
        <v>8</v>
      </c>
      <c r="H276">
        <v>30000</v>
      </c>
      <c r="I276">
        <v>24000</v>
      </c>
      <c r="J276">
        <v>240000</v>
      </c>
      <c r="K276">
        <v>192000</v>
      </c>
      <c r="L276">
        <v>48000</v>
      </c>
    </row>
    <row r="277" spans="1:12" x14ac:dyDescent="0.3">
      <c r="A277" t="s">
        <v>500</v>
      </c>
      <c r="B277" t="s">
        <v>501</v>
      </c>
      <c r="C277" t="s">
        <v>39</v>
      </c>
      <c r="D277" t="s">
        <v>26</v>
      </c>
      <c r="E277" t="s">
        <v>21</v>
      </c>
      <c r="F277" t="s">
        <v>22</v>
      </c>
      <c r="G277">
        <v>3</v>
      </c>
      <c r="H277">
        <v>2000</v>
      </c>
      <c r="I277">
        <v>1200</v>
      </c>
      <c r="J277">
        <v>6000</v>
      </c>
      <c r="K277">
        <v>3600</v>
      </c>
      <c r="L277">
        <v>2400</v>
      </c>
    </row>
    <row r="278" spans="1:12" x14ac:dyDescent="0.3">
      <c r="A278" t="s">
        <v>502</v>
      </c>
      <c r="B278" t="s">
        <v>312</v>
      </c>
      <c r="C278" t="s">
        <v>42</v>
      </c>
      <c r="D278" t="s">
        <v>26</v>
      </c>
      <c r="E278" t="s">
        <v>27</v>
      </c>
      <c r="F278" t="s">
        <v>17</v>
      </c>
      <c r="G278">
        <v>4</v>
      </c>
      <c r="H278">
        <v>30000</v>
      </c>
      <c r="I278">
        <v>24000</v>
      </c>
      <c r="J278">
        <v>120000</v>
      </c>
      <c r="K278">
        <v>96000</v>
      </c>
      <c r="L278">
        <v>24000</v>
      </c>
    </row>
    <row r="279" spans="1:12" x14ac:dyDescent="0.3">
      <c r="A279" t="s">
        <v>503</v>
      </c>
      <c r="B279" t="s">
        <v>504</v>
      </c>
      <c r="C279" t="s">
        <v>45</v>
      </c>
      <c r="D279" t="s">
        <v>36</v>
      </c>
      <c r="E279" t="s">
        <v>16</v>
      </c>
      <c r="F279" t="s">
        <v>17</v>
      </c>
      <c r="G279">
        <v>7</v>
      </c>
      <c r="H279">
        <v>15000</v>
      </c>
      <c r="I279">
        <v>11000</v>
      </c>
      <c r="J279">
        <v>105000</v>
      </c>
      <c r="K279">
        <v>77000</v>
      </c>
      <c r="L279">
        <v>28000</v>
      </c>
    </row>
    <row r="280" spans="1:12" x14ac:dyDescent="0.3">
      <c r="A280" t="s">
        <v>505</v>
      </c>
      <c r="B280" t="s">
        <v>116</v>
      </c>
      <c r="C280" t="s">
        <v>56</v>
      </c>
      <c r="D280" t="s">
        <v>36</v>
      </c>
      <c r="E280" t="s">
        <v>62</v>
      </c>
      <c r="F280" t="s">
        <v>17</v>
      </c>
      <c r="G280">
        <v>7</v>
      </c>
      <c r="H280">
        <v>50000</v>
      </c>
      <c r="I280">
        <v>40000</v>
      </c>
      <c r="J280">
        <v>350000</v>
      </c>
      <c r="K280">
        <v>280000</v>
      </c>
      <c r="L280">
        <v>70000</v>
      </c>
    </row>
    <row r="281" spans="1:12" x14ac:dyDescent="0.3">
      <c r="A281" t="s">
        <v>506</v>
      </c>
      <c r="B281" t="s">
        <v>507</v>
      </c>
      <c r="C281" t="s">
        <v>30</v>
      </c>
      <c r="D281" t="s">
        <v>15</v>
      </c>
      <c r="E281" t="s">
        <v>27</v>
      </c>
      <c r="F281" t="s">
        <v>17</v>
      </c>
      <c r="G281">
        <v>4</v>
      </c>
      <c r="H281">
        <v>30000</v>
      </c>
      <c r="I281">
        <v>24000</v>
      </c>
      <c r="J281">
        <v>120000</v>
      </c>
      <c r="K281">
        <v>96000</v>
      </c>
      <c r="L281">
        <v>24000</v>
      </c>
    </row>
    <row r="282" spans="1:12" x14ac:dyDescent="0.3">
      <c r="A282" t="s">
        <v>508</v>
      </c>
      <c r="B282" t="s">
        <v>509</v>
      </c>
      <c r="C282" t="s">
        <v>56</v>
      </c>
      <c r="D282" t="s">
        <v>15</v>
      </c>
      <c r="E282" t="s">
        <v>27</v>
      </c>
      <c r="F282" t="s">
        <v>17</v>
      </c>
      <c r="G282">
        <v>5</v>
      </c>
      <c r="H282">
        <v>30000</v>
      </c>
      <c r="I282">
        <v>24000</v>
      </c>
      <c r="J282">
        <v>150000</v>
      </c>
      <c r="K282">
        <v>120000</v>
      </c>
      <c r="L282">
        <v>30000</v>
      </c>
    </row>
    <row r="283" spans="1:12" x14ac:dyDescent="0.3">
      <c r="A283" t="s">
        <v>510</v>
      </c>
      <c r="B283" t="s">
        <v>511</v>
      </c>
      <c r="C283" t="s">
        <v>20</v>
      </c>
      <c r="D283" t="s">
        <v>15</v>
      </c>
      <c r="E283" t="s">
        <v>27</v>
      </c>
      <c r="F283" t="s">
        <v>17</v>
      </c>
      <c r="G283">
        <v>9</v>
      </c>
      <c r="H283">
        <v>30000</v>
      </c>
      <c r="I283">
        <v>24000</v>
      </c>
      <c r="J283">
        <v>270000</v>
      </c>
      <c r="K283">
        <v>216000</v>
      </c>
      <c r="L283">
        <v>54000</v>
      </c>
    </row>
    <row r="284" spans="1:12" x14ac:dyDescent="0.3">
      <c r="A284" t="s">
        <v>512</v>
      </c>
      <c r="B284" t="s">
        <v>513</v>
      </c>
      <c r="C284" t="s">
        <v>25</v>
      </c>
      <c r="D284" t="s">
        <v>15</v>
      </c>
      <c r="E284" t="s">
        <v>27</v>
      </c>
      <c r="F284" t="s">
        <v>17</v>
      </c>
      <c r="G284">
        <v>6</v>
      </c>
      <c r="H284">
        <v>30000</v>
      </c>
      <c r="I284">
        <v>24000</v>
      </c>
      <c r="J284">
        <v>180000</v>
      </c>
      <c r="K284">
        <v>144000</v>
      </c>
      <c r="L284">
        <v>36000</v>
      </c>
    </row>
    <row r="285" spans="1:12" x14ac:dyDescent="0.3">
      <c r="A285" t="s">
        <v>514</v>
      </c>
      <c r="B285" t="s">
        <v>515</v>
      </c>
      <c r="C285" t="s">
        <v>56</v>
      </c>
      <c r="D285" t="s">
        <v>36</v>
      </c>
      <c r="E285" t="s">
        <v>21</v>
      </c>
      <c r="F285" t="s">
        <v>22</v>
      </c>
      <c r="G285">
        <v>6</v>
      </c>
      <c r="H285">
        <v>2000</v>
      </c>
      <c r="I285">
        <v>1200</v>
      </c>
      <c r="J285">
        <v>12000</v>
      </c>
      <c r="K285">
        <v>7200</v>
      </c>
      <c r="L285">
        <v>4800</v>
      </c>
    </row>
    <row r="286" spans="1:12" x14ac:dyDescent="0.3">
      <c r="A286" t="s">
        <v>516</v>
      </c>
      <c r="B286" t="s">
        <v>517</v>
      </c>
      <c r="C286" t="s">
        <v>39</v>
      </c>
      <c r="D286" t="s">
        <v>15</v>
      </c>
      <c r="E286" t="s">
        <v>46</v>
      </c>
      <c r="F286" t="s">
        <v>17</v>
      </c>
      <c r="G286">
        <v>7</v>
      </c>
      <c r="H286">
        <v>20000</v>
      </c>
      <c r="I286">
        <v>15000</v>
      </c>
      <c r="J286">
        <v>140000</v>
      </c>
      <c r="K286">
        <v>105000</v>
      </c>
      <c r="L286">
        <v>35000</v>
      </c>
    </row>
    <row r="287" spans="1:12" x14ac:dyDescent="0.3">
      <c r="A287" t="s">
        <v>518</v>
      </c>
      <c r="B287" t="s">
        <v>92</v>
      </c>
      <c r="C287" t="s">
        <v>30</v>
      </c>
      <c r="D287" t="s">
        <v>26</v>
      </c>
      <c r="E287" t="s">
        <v>16</v>
      </c>
      <c r="F287" t="s">
        <v>17</v>
      </c>
      <c r="G287">
        <v>10</v>
      </c>
      <c r="H287">
        <v>15000</v>
      </c>
      <c r="I287">
        <v>11000</v>
      </c>
      <c r="J287">
        <v>150000</v>
      </c>
      <c r="K287">
        <v>110000</v>
      </c>
      <c r="L287">
        <v>40000</v>
      </c>
    </row>
    <row r="288" spans="1:12" x14ac:dyDescent="0.3">
      <c r="A288" t="s">
        <v>519</v>
      </c>
      <c r="B288" t="s">
        <v>123</v>
      </c>
      <c r="C288" t="s">
        <v>14</v>
      </c>
      <c r="D288" t="s">
        <v>31</v>
      </c>
      <c r="E288" t="s">
        <v>16</v>
      </c>
      <c r="F288" t="s">
        <v>17</v>
      </c>
      <c r="G288">
        <v>5</v>
      </c>
      <c r="H288">
        <v>15000</v>
      </c>
      <c r="I288">
        <v>11000</v>
      </c>
      <c r="J288">
        <v>75000</v>
      </c>
      <c r="K288">
        <v>55000</v>
      </c>
      <c r="L288">
        <v>20000</v>
      </c>
    </row>
    <row r="289" spans="1:12" x14ac:dyDescent="0.3">
      <c r="A289" t="s">
        <v>520</v>
      </c>
      <c r="B289" t="s">
        <v>521</v>
      </c>
      <c r="C289" t="s">
        <v>25</v>
      </c>
      <c r="D289" t="s">
        <v>15</v>
      </c>
      <c r="E289" t="s">
        <v>46</v>
      </c>
      <c r="F289" t="s">
        <v>17</v>
      </c>
      <c r="G289">
        <v>8</v>
      </c>
      <c r="H289">
        <v>20000</v>
      </c>
      <c r="I289">
        <v>15000</v>
      </c>
      <c r="J289">
        <v>160000</v>
      </c>
      <c r="K289">
        <v>120000</v>
      </c>
      <c r="L289">
        <v>40000</v>
      </c>
    </row>
    <row r="290" spans="1:12" x14ac:dyDescent="0.3">
      <c r="A290" t="s">
        <v>522</v>
      </c>
      <c r="B290" t="s">
        <v>356</v>
      </c>
      <c r="C290" t="s">
        <v>20</v>
      </c>
      <c r="D290" t="s">
        <v>26</v>
      </c>
      <c r="E290" t="s">
        <v>62</v>
      </c>
      <c r="F290" t="s">
        <v>17</v>
      </c>
      <c r="G290">
        <v>9</v>
      </c>
      <c r="H290">
        <v>50000</v>
      </c>
      <c r="I290">
        <v>40000</v>
      </c>
      <c r="J290">
        <v>450000</v>
      </c>
      <c r="K290">
        <v>360000</v>
      </c>
      <c r="L290">
        <v>90000</v>
      </c>
    </row>
    <row r="291" spans="1:12" x14ac:dyDescent="0.3">
      <c r="A291" t="s">
        <v>523</v>
      </c>
      <c r="B291" t="s">
        <v>429</v>
      </c>
      <c r="C291" t="s">
        <v>71</v>
      </c>
      <c r="D291" t="s">
        <v>31</v>
      </c>
      <c r="E291" t="s">
        <v>16</v>
      </c>
      <c r="F291" t="s">
        <v>17</v>
      </c>
      <c r="G291">
        <v>4</v>
      </c>
      <c r="H291">
        <v>15000</v>
      </c>
      <c r="I291">
        <v>11000</v>
      </c>
      <c r="J291">
        <v>60000</v>
      </c>
      <c r="K291">
        <v>44000</v>
      </c>
      <c r="L291">
        <v>16000</v>
      </c>
    </row>
    <row r="292" spans="1:12" x14ac:dyDescent="0.3">
      <c r="A292" t="s">
        <v>524</v>
      </c>
      <c r="B292" t="s">
        <v>496</v>
      </c>
      <c r="C292" t="s">
        <v>30</v>
      </c>
      <c r="D292" t="s">
        <v>31</v>
      </c>
      <c r="E292" t="s">
        <v>46</v>
      </c>
      <c r="F292" t="s">
        <v>17</v>
      </c>
      <c r="G292">
        <v>5</v>
      </c>
      <c r="H292">
        <v>20000</v>
      </c>
      <c r="I292">
        <v>15000</v>
      </c>
      <c r="J292">
        <v>100000</v>
      </c>
      <c r="K292">
        <v>75000</v>
      </c>
      <c r="L292">
        <v>25000</v>
      </c>
    </row>
    <row r="293" spans="1:12" x14ac:dyDescent="0.3">
      <c r="A293" t="s">
        <v>525</v>
      </c>
      <c r="B293" t="s">
        <v>480</v>
      </c>
      <c r="C293" t="s">
        <v>25</v>
      </c>
      <c r="D293" t="s">
        <v>26</v>
      </c>
      <c r="E293" t="s">
        <v>16</v>
      </c>
      <c r="F293" t="s">
        <v>17</v>
      </c>
      <c r="G293">
        <v>6</v>
      </c>
      <c r="H293">
        <v>15000</v>
      </c>
      <c r="I293">
        <v>11000</v>
      </c>
      <c r="J293">
        <v>90000</v>
      </c>
      <c r="K293">
        <v>66000</v>
      </c>
      <c r="L293">
        <v>24000</v>
      </c>
    </row>
    <row r="294" spans="1:12" x14ac:dyDescent="0.3">
      <c r="A294" t="s">
        <v>526</v>
      </c>
      <c r="B294" t="s">
        <v>160</v>
      </c>
      <c r="C294" t="s">
        <v>121</v>
      </c>
      <c r="D294" t="s">
        <v>15</v>
      </c>
      <c r="E294" t="s">
        <v>21</v>
      </c>
      <c r="F294" t="s">
        <v>22</v>
      </c>
      <c r="G294">
        <v>6</v>
      </c>
      <c r="H294">
        <v>2000</v>
      </c>
      <c r="I294">
        <v>1200</v>
      </c>
      <c r="J294">
        <v>12000</v>
      </c>
      <c r="K294">
        <v>7200</v>
      </c>
      <c r="L294">
        <v>4800</v>
      </c>
    </row>
    <row r="295" spans="1:12" x14ac:dyDescent="0.3">
      <c r="A295" t="s">
        <v>527</v>
      </c>
      <c r="B295" t="s">
        <v>186</v>
      </c>
      <c r="C295" t="s">
        <v>51</v>
      </c>
      <c r="D295" t="s">
        <v>31</v>
      </c>
      <c r="E295" t="s">
        <v>16</v>
      </c>
      <c r="F295" t="s">
        <v>17</v>
      </c>
      <c r="G295">
        <v>8</v>
      </c>
      <c r="H295">
        <v>15000</v>
      </c>
      <c r="I295">
        <v>11000</v>
      </c>
      <c r="J295">
        <v>120000</v>
      </c>
      <c r="K295">
        <v>88000</v>
      </c>
      <c r="L295">
        <v>32000</v>
      </c>
    </row>
    <row r="296" spans="1:12" x14ac:dyDescent="0.3">
      <c r="A296" t="s">
        <v>528</v>
      </c>
      <c r="B296" t="s">
        <v>529</v>
      </c>
      <c r="C296" t="s">
        <v>45</v>
      </c>
      <c r="D296" t="s">
        <v>15</v>
      </c>
      <c r="E296" t="s">
        <v>16</v>
      </c>
      <c r="F296" t="s">
        <v>17</v>
      </c>
      <c r="G296">
        <v>3</v>
      </c>
      <c r="H296">
        <v>15000</v>
      </c>
      <c r="I296">
        <v>11000</v>
      </c>
      <c r="J296">
        <v>45000</v>
      </c>
      <c r="K296">
        <v>33000</v>
      </c>
      <c r="L296">
        <v>12000</v>
      </c>
    </row>
    <row r="297" spans="1:12" x14ac:dyDescent="0.3">
      <c r="A297" t="s">
        <v>530</v>
      </c>
      <c r="B297" t="s">
        <v>201</v>
      </c>
      <c r="C297" t="s">
        <v>39</v>
      </c>
      <c r="D297" t="s">
        <v>31</v>
      </c>
      <c r="E297" t="s">
        <v>46</v>
      </c>
      <c r="F297" t="s">
        <v>17</v>
      </c>
      <c r="G297">
        <v>1</v>
      </c>
      <c r="H297">
        <v>20000</v>
      </c>
      <c r="I297">
        <v>15000</v>
      </c>
      <c r="J297">
        <v>20000</v>
      </c>
      <c r="K297">
        <v>15000</v>
      </c>
      <c r="L297">
        <v>5000</v>
      </c>
    </row>
    <row r="298" spans="1:12" x14ac:dyDescent="0.3">
      <c r="A298" t="s">
        <v>531</v>
      </c>
      <c r="B298" t="s">
        <v>532</v>
      </c>
      <c r="C298" t="s">
        <v>25</v>
      </c>
      <c r="D298" t="s">
        <v>31</v>
      </c>
      <c r="E298" t="s">
        <v>16</v>
      </c>
      <c r="F298" t="s">
        <v>17</v>
      </c>
      <c r="G298">
        <v>1</v>
      </c>
      <c r="H298">
        <v>15000</v>
      </c>
      <c r="I298">
        <v>11000</v>
      </c>
      <c r="J298">
        <v>15000</v>
      </c>
      <c r="K298">
        <v>11000</v>
      </c>
      <c r="L298">
        <v>4000</v>
      </c>
    </row>
    <row r="299" spans="1:12" x14ac:dyDescent="0.3">
      <c r="A299" t="s">
        <v>533</v>
      </c>
      <c r="B299" t="s">
        <v>534</v>
      </c>
      <c r="C299" t="s">
        <v>14</v>
      </c>
      <c r="D299" t="s">
        <v>36</v>
      </c>
      <c r="E299" t="s">
        <v>46</v>
      </c>
      <c r="F299" t="s">
        <v>17</v>
      </c>
      <c r="G299">
        <v>1</v>
      </c>
      <c r="H299">
        <v>20000</v>
      </c>
      <c r="I299">
        <v>15000</v>
      </c>
      <c r="J299">
        <v>20000</v>
      </c>
      <c r="K299">
        <v>15000</v>
      </c>
      <c r="L299">
        <v>5000</v>
      </c>
    </row>
    <row r="300" spans="1:12" x14ac:dyDescent="0.3">
      <c r="A300" t="s">
        <v>535</v>
      </c>
      <c r="B300" t="s">
        <v>536</v>
      </c>
      <c r="C300" t="s">
        <v>39</v>
      </c>
      <c r="D300" t="s">
        <v>31</v>
      </c>
      <c r="E300" t="s">
        <v>46</v>
      </c>
      <c r="F300" t="s">
        <v>17</v>
      </c>
      <c r="G300">
        <v>5</v>
      </c>
      <c r="H300">
        <v>20000</v>
      </c>
      <c r="I300">
        <v>15000</v>
      </c>
      <c r="J300">
        <v>100000</v>
      </c>
      <c r="K300">
        <v>75000</v>
      </c>
      <c r="L300">
        <v>25000</v>
      </c>
    </row>
    <row r="301" spans="1:12" x14ac:dyDescent="0.3">
      <c r="A301" t="s">
        <v>537</v>
      </c>
      <c r="B301" t="s">
        <v>248</v>
      </c>
      <c r="C301" t="s">
        <v>45</v>
      </c>
      <c r="D301" t="s">
        <v>36</v>
      </c>
      <c r="E301" t="s">
        <v>46</v>
      </c>
      <c r="F301" t="s">
        <v>17</v>
      </c>
      <c r="G301">
        <v>1</v>
      </c>
      <c r="H301">
        <v>20000</v>
      </c>
      <c r="I301">
        <v>15000</v>
      </c>
      <c r="J301">
        <v>20000</v>
      </c>
      <c r="K301">
        <v>15000</v>
      </c>
      <c r="L301">
        <v>5000</v>
      </c>
    </row>
    <row r="302" spans="1:12" x14ac:dyDescent="0.3">
      <c r="A302" t="s">
        <v>538</v>
      </c>
      <c r="B302" t="s">
        <v>539</v>
      </c>
      <c r="C302" t="s">
        <v>121</v>
      </c>
      <c r="D302" t="s">
        <v>36</v>
      </c>
      <c r="E302" t="s">
        <v>27</v>
      </c>
      <c r="F302" t="s">
        <v>17</v>
      </c>
      <c r="G302">
        <v>2</v>
      </c>
      <c r="H302">
        <v>30000</v>
      </c>
      <c r="I302">
        <v>24000</v>
      </c>
      <c r="J302">
        <v>60000</v>
      </c>
      <c r="K302">
        <v>48000</v>
      </c>
      <c r="L302">
        <v>12000</v>
      </c>
    </row>
    <row r="303" spans="1:12" x14ac:dyDescent="0.3">
      <c r="A303" t="s">
        <v>540</v>
      </c>
      <c r="B303" t="s">
        <v>541</v>
      </c>
      <c r="C303" t="s">
        <v>39</v>
      </c>
      <c r="D303" t="s">
        <v>15</v>
      </c>
      <c r="E303" t="s">
        <v>46</v>
      </c>
      <c r="F303" t="s">
        <v>17</v>
      </c>
      <c r="G303">
        <v>2</v>
      </c>
      <c r="H303">
        <v>20000</v>
      </c>
      <c r="I303">
        <v>15000</v>
      </c>
      <c r="J303">
        <v>40000</v>
      </c>
      <c r="K303">
        <v>30000</v>
      </c>
      <c r="L303">
        <v>10000</v>
      </c>
    </row>
    <row r="304" spans="1:12" x14ac:dyDescent="0.3">
      <c r="A304" t="s">
        <v>542</v>
      </c>
      <c r="B304" t="s">
        <v>543</v>
      </c>
      <c r="C304" t="s">
        <v>121</v>
      </c>
      <c r="D304" t="s">
        <v>31</v>
      </c>
      <c r="E304" t="s">
        <v>16</v>
      </c>
      <c r="F304" t="s">
        <v>17</v>
      </c>
      <c r="G304">
        <v>4</v>
      </c>
      <c r="H304">
        <v>15000</v>
      </c>
      <c r="I304">
        <v>11000</v>
      </c>
      <c r="J304">
        <v>60000</v>
      </c>
      <c r="K304">
        <v>44000</v>
      </c>
      <c r="L304">
        <v>16000</v>
      </c>
    </row>
    <row r="305" spans="1:12" x14ac:dyDescent="0.3">
      <c r="A305" t="s">
        <v>544</v>
      </c>
      <c r="B305" t="s">
        <v>367</v>
      </c>
      <c r="C305" t="s">
        <v>56</v>
      </c>
      <c r="D305" t="s">
        <v>26</v>
      </c>
      <c r="E305" t="s">
        <v>21</v>
      </c>
      <c r="F305" t="s">
        <v>22</v>
      </c>
      <c r="G305">
        <v>1</v>
      </c>
      <c r="H305">
        <v>2000</v>
      </c>
      <c r="I305">
        <v>1200</v>
      </c>
      <c r="J305">
        <v>2000</v>
      </c>
      <c r="K305">
        <v>1200</v>
      </c>
      <c r="L305">
        <v>800</v>
      </c>
    </row>
    <row r="306" spans="1:12" x14ac:dyDescent="0.3">
      <c r="A306" t="s">
        <v>545</v>
      </c>
      <c r="B306" t="s">
        <v>546</v>
      </c>
      <c r="C306" t="s">
        <v>45</v>
      </c>
      <c r="D306" t="s">
        <v>36</v>
      </c>
      <c r="E306" t="s">
        <v>62</v>
      </c>
      <c r="F306" t="s">
        <v>17</v>
      </c>
      <c r="G306">
        <v>1</v>
      </c>
      <c r="H306">
        <v>50000</v>
      </c>
      <c r="I306">
        <v>40000</v>
      </c>
      <c r="J306">
        <v>50000</v>
      </c>
      <c r="K306">
        <v>40000</v>
      </c>
      <c r="L306">
        <v>10000</v>
      </c>
    </row>
    <row r="307" spans="1:12" x14ac:dyDescent="0.3">
      <c r="A307" t="s">
        <v>547</v>
      </c>
      <c r="B307" t="s">
        <v>371</v>
      </c>
      <c r="C307" t="s">
        <v>14</v>
      </c>
      <c r="D307" t="s">
        <v>15</v>
      </c>
      <c r="E307" t="s">
        <v>46</v>
      </c>
      <c r="F307" t="s">
        <v>17</v>
      </c>
      <c r="G307">
        <v>5</v>
      </c>
      <c r="H307">
        <v>20000</v>
      </c>
      <c r="I307">
        <v>15000</v>
      </c>
      <c r="J307">
        <v>100000</v>
      </c>
      <c r="K307">
        <v>75000</v>
      </c>
      <c r="L307">
        <v>25000</v>
      </c>
    </row>
    <row r="308" spans="1:12" x14ac:dyDescent="0.3">
      <c r="A308" t="s">
        <v>548</v>
      </c>
      <c r="B308" t="s">
        <v>549</v>
      </c>
      <c r="C308" t="s">
        <v>20</v>
      </c>
      <c r="D308" t="s">
        <v>26</v>
      </c>
      <c r="E308" t="s">
        <v>46</v>
      </c>
      <c r="F308" t="s">
        <v>17</v>
      </c>
      <c r="G308">
        <v>3</v>
      </c>
      <c r="H308">
        <v>20000</v>
      </c>
      <c r="I308">
        <v>15000</v>
      </c>
      <c r="J308">
        <v>60000</v>
      </c>
      <c r="K308">
        <v>45000</v>
      </c>
      <c r="L308">
        <v>15000</v>
      </c>
    </row>
    <row r="309" spans="1:12" x14ac:dyDescent="0.3">
      <c r="A309" t="s">
        <v>550</v>
      </c>
      <c r="B309" t="s">
        <v>551</v>
      </c>
      <c r="C309" t="s">
        <v>121</v>
      </c>
      <c r="D309" t="s">
        <v>36</v>
      </c>
      <c r="E309" t="s">
        <v>62</v>
      </c>
      <c r="F309" t="s">
        <v>17</v>
      </c>
      <c r="G309">
        <v>3</v>
      </c>
      <c r="H309">
        <v>50000</v>
      </c>
      <c r="I309">
        <v>40000</v>
      </c>
      <c r="J309">
        <v>150000</v>
      </c>
      <c r="K309">
        <v>120000</v>
      </c>
      <c r="L309">
        <v>30000</v>
      </c>
    </row>
    <row r="310" spans="1:12" x14ac:dyDescent="0.3">
      <c r="A310" t="s">
        <v>552</v>
      </c>
      <c r="B310" t="s">
        <v>553</v>
      </c>
      <c r="C310" t="s">
        <v>14</v>
      </c>
      <c r="D310" t="s">
        <v>36</v>
      </c>
      <c r="E310" t="s">
        <v>16</v>
      </c>
      <c r="F310" t="s">
        <v>17</v>
      </c>
      <c r="G310">
        <v>7</v>
      </c>
      <c r="H310">
        <v>15000</v>
      </c>
      <c r="I310">
        <v>11000</v>
      </c>
      <c r="J310">
        <v>105000</v>
      </c>
      <c r="K310">
        <v>77000</v>
      </c>
      <c r="L310">
        <v>28000</v>
      </c>
    </row>
    <row r="311" spans="1:12" x14ac:dyDescent="0.3">
      <c r="A311" t="s">
        <v>554</v>
      </c>
      <c r="B311" t="s">
        <v>555</v>
      </c>
      <c r="C311" t="s">
        <v>30</v>
      </c>
      <c r="D311" t="s">
        <v>36</v>
      </c>
      <c r="E311" t="s">
        <v>62</v>
      </c>
      <c r="F311" t="s">
        <v>17</v>
      </c>
      <c r="G311">
        <v>2</v>
      </c>
      <c r="H311">
        <v>50000</v>
      </c>
      <c r="I311">
        <v>40000</v>
      </c>
      <c r="J311">
        <v>100000</v>
      </c>
      <c r="K311">
        <v>80000</v>
      </c>
      <c r="L311">
        <v>20000</v>
      </c>
    </row>
    <row r="312" spans="1:12" x14ac:dyDescent="0.3">
      <c r="A312" t="s">
        <v>556</v>
      </c>
      <c r="B312" t="s">
        <v>96</v>
      </c>
      <c r="C312" t="s">
        <v>71</v>
      </c>
      <c r="D312" t="s">
        <v>31</v>
      </c>
      <c r="E312" t="s">
        <v>46</v>
      </c>
      <c r="F312" t="s">
        <v>17</v>
      </c>
      <c r="G312">
        <v>1</v>
      </c>
      <c r="H312">
        <v>20000</v>
      </c>
      <c r="I312">
        <v>15000</v>
      </c>
      <c r="J312">
        <v>20000</v>
      </c>
      <c r="K312">
        <v>15000</v>
      </c>
      <c r="L312">
        <v>5000</v>
      </c>
    </row>
    <row r="313" spans="1:12" x14ac:dyDescent="0.3">
      <c r="A313" t="s">
        <v>557</v>
      </c>
      <c r="B313" t="s">
        <v>521</v>
      </c>
      <c r="C313" t="s">
        <v>25</v>
      </c>
      <c r="D313" t="s">
        <v>26</v>
      </c>
      <c r="E313" t="s">
        <v>16</v>
      </c>
      <c r="F313" t="s">
        <v>17</v>
      </c>
      <c r="G313">
        <v>2</v>
      </c>
      <c r="H313">
        <v>15000</v>
      </c>
      <c r="I313">
        <v>11000</v>
      </c>
      <c r="J313">
        <v>30000</v>
      </c>
      <c r="K313">
        <v>22000</v>
      </c>
      <c r="L313">
        <v>8000</v>
      </c>
    </row>
    <row r="314" spans="1:12" x14ac:dyDescent="0.3">
      <c r="A314" t="s">
        <v>558</v>
      </c>
      <c r="B314" t="s">
        <v>559</v>
      </c>
      <c r="C314" t="s">
        <v>14</v>
      </c>
      <c r="D314" t="s">
        <v>26</v>
      </c>
      <c r="E314" t="s">
        <v>21</v>
      </c>
      <c r="F314" t="s">
        <v>22</v>
      </c>
      <c r="G314">
        <v>9</v>
      </c>
      <c r="H314">
        <v>2000</v>
      </c>
      <c r="I314">
        <v>1200</v>
      </c>
      <c r="J314">
        <v>18000</v>
      </c>
      <c r="K314">
        <v>10800</v>
      </c>
      <c r="L314">
        <v>7200</v>
      </c>
    </row>
    <row r="315" spans="1:12" x14ac:dyDescent="0.3">
      <c r="A315" t="s">
        <v>560</v>
      </c>
      <c r="B315" t="s">
        <v>539</v>
      </c>
      <c r="C315" t="s">
        <v>121</v>
      </c>
      <c r="D315" t="s">
        <v>36</v>
      </c>
      <c r="E315" t="s">
        <v>27</v>
      </c>
      <c r="F315" t="s">
        <v>17</v>
      </c>
      <c r="G315">
        <v>2</v>
      </c>
      <c r="H315">
        <v>30000</v>
      </c>
      <c r="I315">
        <v>24000</v>
      </c>
      <c r="J315">
        <v>60000</v>
      </c>
      <c r="K315">
        <v>48000</v>
      </c>
      <c r="L315">
        <v>12000</v>
      </c>
    </row>
    <row r="316" spans="1:12" x14ac:dyDescent="0.3">
      <c r="A316" t="s">
        <v>561</v>
      </c>
      <c r="B316" t="s">
        <v>252</v>
      </c>
      <c r="C316" t="s">
        <v>42</v>
      </c>
      <c r="D316" t="s">
        <v>36</v>
      </c>
      <c r="E316" t="s">
        <v>21</v>
      </c>
      <c r="F316" t="s">
        <v>22</v>
      </c>
      <c r="G316">
        <v>1</v>
      </c>
      <c r="H316">
        <v>2000</v>
      </c>
      <c r="I316">
        <v>1200</v>
      </c>
      <c r="J316">
        <v>2000</v>
      </c>
      <c r="K316">
        <v>1200</v>
      </c>
      <c r="L316">
        <v>800</v>
      </c>
    </row>
    <row r="317" spans="1:12" x14ac:dyDescent="0.3">
      <c r="A317" t="s">
        <v>562</v>
      </c>
      <c r="B317" t="s">
        <v>125</v>
      </c>
      <c r="C317" t="s">
        <v>121</v>
      </c>
      <c r="D317" t="s">
        <v>36</v>
      </c>
      <c r="E317" t="s">
        <v>21</v>
      </c>
      <c r="F317" t="s">
        <v>22</v>
      </c>
      <c r="G317">
        <v>1</v>
      </c>
      <c r="H317">
        <v>2000</v>
      </c>
      <c r="I317">
        <v>1200</v>
      </c>
      <c r="J317">
        <v>2000</v>
      </c>
      <c r="K317">
        <v>1200</v>
      </c>
      <c r="L317">
        <v>800</v>
      </c>
    </row>
    <row r="318" spans="1:12" x14ac:dyDescent="0.3">
      <c r="A318" t="s">
        <v>563</v>
      </c>
      <c r="B318" t="s">
        <v>19</v>
      </c>
      <c r="C318" t="s">
        <v>20</v>
      </c>
      <c r="D318" t="s">
        <v>26</v>
      </c>
      <c r="E318" t="s">
        <v>46</v>
      </c>
      <c r="F318" t="s">
        <v>17</v>
      </c>
      <c r="G318">
        <v>4</v>
      </c>
      <c r="H318">
        <v>20000</v>
      </c>
      <c r="I318">
        <v>15000</v>
      </c>
      <c r="J318">
        <v>80000</v>
      </c>
      <c r="K318">
        <v>60000</v>
      </c>
      <c r="L318">
        <v>20000</v>
      </c>
    </row>
    <row r="319" spans="1:12" x14ac:dyDescent="0.3">
      <c r="A319" t="s">
        <v>564</v>
      </c>
      <c r="B319" t="s">
        <v>565</v>
      </c>
      <c r="C319" t="s">
        <v>42</v>
      </c>
      <c r="D319" t="s">
        <v>31</v>
      </c>
      <c r="E319" t="s">
        <v>21</v>
      </c>
      <c r="F319" t="s">
        <v>22</v>
      </c>
      <c r="G319">
        <v>3</v>
      </c>
      <c r="H319">
        <v>2000</v>
      </c>
      <c r="I319">
        <v>1200</v>
      </c>
      <c r="J319">
        <v>6000</v>
      </c>
      <c r="K319">
        <v>3600</v>
      </c>
      <c r="L319">
        <v>2400</v>
      </c>
    </row>
    <row r="320" spans="1:12" x14ac:dyDescent="0.3">
      <c r="A320" t="s">
        <v>566</v>
      </c>
      <c r="B320" t="s">
        <v>100</v>
      </c>
      <c r="C320" t="s">
        <v>90</v>
      </c>
      <c r="D320" t="s">
        <v>15</v>
      </c>
      <c r="E320" t="s">
        <v>46</v>
      </c>
      <c r="F320" t="s">
        <v>17</v>
      </c>
      <c r="G320">
        <v>4</v>
      </c>
      <c r="H320">
        <v>20000</v>
      </c>
      <c r="I320">
        <v>15000</v>
      </c>
      <c r="J320">
        <v>80000</v>
      </c>
      <c r="K320">
        <v>60000</v>
      </c>
      <c r="L320">
        <v>20000</v>
      </c>
    </row>
    <row r="321" spans="1:12" x14ac:dyDescent="0.3">
      <c r="A321" t="s">
        <v>567</v>
      </c>
      <c r="B321" t="s">
        <v>568</v>
      </c>
      <c r="C321" t="s">
        <v>121</v>
      </c>
      <c r="D321" t="s">
        <v>15</v>
      </c>
      <c r="E321" t="s">
        <v>62</v>
      </c>
      <c r="F321" t="s">
        <v>17</v>
      </c>
      <c r="G321">
        <v>9</v>
      </c>
      <c r="H321">
        <v>50000</v>
      </c>
      <c r="I321">
        <v>40000</v>
      </c>
      <c r="J321">
        <v>450000</v>
      </c>
      <c r="K321">
        <v>360000</v>
      </c>
      <c r="L321">
        <v>90000</v>
      </c>
    </row>
    <row r="322" spans="1:12" x14ac:dyDescent="0.3">
      <c r="A322" t="s">
        <v>569</v>
      </c>
      <c r="B322" t="s">
        <v>570</v>
      </c>
      <c r="C322" t="s">
        <v>20</v>
      </c>
      <c r="D322" t="s">
        <v>36</v>
      </c>
      <c r="E322" t="s">
        <v>62</v>
      </c>
      <c r="F322" t="s">
        <v>17</v>
      </c>
      <c r="G322">
        <v>2</v>
      </c>
      <c r="H322">
        <v>50000</v>
      </c>
      <c r="I322">
        <v>40000</v>
      </c>
      <c r="J322">
        <v>100000</v>
      </c>
      <c r="K322">
        <v>80000</v>
      </c>
      <c r="L322">
        <v>20000</v>
      </c>
    </row>
    <row r="323" spans="1:12" x14ac:dyDescent="0.3">
      <c r="A323" t="s">
        <v>571</v>
      </c>
      <c r="B323" t="s">
        <v>340</v>
      </c>
      <c r="C323" t="s">
        <v>14</v>
      </c>
      <c r="D323" t="s">
        <v>36</v>
      </c>
      <c r="E323" t="s">
        <v>27</v>
      </c>
      <c r="F323" t="s">
        <v>17</v>
      </c>
      <c r="G323">
        <v>10</v>
      </c>
      <c r="H323">
        <v>30000</v>
      </c>
      <c r="I323">
        <v>24000</v>
      </c>
      <c r="J323">
        <v>300000</v>
      </c>
      <c r="K323">
        <v>240000</v>
      </c>
      <c r="L323">
        <v>60000</v>
      </c>
    </row>
    <row r="324" spans="1:12" x14ac:dyDescent="0.3">
      <c r="A324" t="s">
        <v>572</v>
      </c>
      <c r="B324" t="s">
        <v>314</v>
      </c>
      <c r="C324" t="s">
        <v>25</v>
      </c>
      <c r="D324" t="s">
        <v>15</v>
      </c>
      <c r="E324" t="s">
        <v>46</v>
      </c>
      <c r="F324" t="s">
        <v>17</v>
      </c>
      <c r="G324">
        <v>9</v>
      </c>
      <c r="H324">
        <v>20000</v>
      </c>
      <c r="I324">
        <v>15000</v>
      </c>
      <c r="J324">
        <v>180000</v>
      </c>
      <c r="K324">
        <v>135000</v>
      </c>
      <c r="L324">
        <v>45000</v>
      </c>
    </row>
    <row r="325" spans="1:12" x14ac:dyDescent="0.3">
      <c r="A325" t="s">
        <v>573</v>
      </c>
      <c r="B325" t="s">
        <v>94</v>
      </c>
      <c r="C325" t="s">
        <v>51</v>
      </c>
      <c r="D325" t="s">
        <v>15</v>
      </c>
      <c r="E325" t="s">
        <v>21</v>
      </c>
      <c r="F325" t="s">
        <v>22</v>
      </c>
      <c r="G325">
        <v>6</v>
      </c>
      <c r="H325">
        <v>2000</v>
      </c>
      <c r="I325">
        <v>1200</v>
      </c>
      <c r="J325">
        <v>12000</v>
      </c>
      <c r="K325">
        <v>7200</v>
      </c>
      <c r="L325">
        <v>4800</v>
      </c>
    </row>
    <row r="326" spans="1:12" x14ac:dyDescent="0.3">
      <c r="A326" t="s">
        <v>574</v>
      </c>
      <c r="B326" t="s">
        <v>371</v>
      </c>
      <c r="C326" t="s">
        <v>14</v>
      </c>
      <c r="D326" t="s">
        <v>31</v>
      </c>
      <c r="E326" t="s">
        <v>62</v>
      </c>
      <c r="F326" t="s">
        <v>17</v>
      </c>
      <c r="G326">
        <v>8</v>
      </c>
      <c r="H326">
        <v>50000</v>
      </c>
      <c r="I326">
        <v>40000</v>
      </c>
      <c r="J326">
        <v>400000</v>
      </c>
      <c r="K326">
        <v>320000</v>
      </c>
      <c r="L326">
        <v>80000</v>
      </c>
    </row>
    <row r="327" spans="1:12" x14ac:dyDescent="0.3">
      <c r="A327" t="s">
        <v>575</v>
      </c>
      <c r="B327" t="s">
        <v>498</v>
      </c>
      <c r="C327" t="s">
        <v>20</v>
      </c>
      <c r="D327" t="s">
        <v>36</v>
      </c>
      <c r="E327" t="s">
        <v>21</v>
      </c>
      <c r="F327" t="s">
        <v>22</v>
      </c>
      <c r="G327">
        <v>5</v>
      </c>
      <c r="H327">
        <v>2000</v>
      </c>
      <c r="I327">
        <v>1200</v>
      </c>
      <c r="J327">
        <v>10000</v>
      </c>
      <c r="K327">
        <v>6000</v>
      </c>
      <c r="L327">
        <v>4000</v>
      </c>
    </row>
    <row r="328" spans="1:12" x14ac:dyDescent="0.3">
      <c r="A328" t="s">
        <v>576</v>
      </c>
      <c r="B328" t="s">
        <v>191</v>
      </c>
      <c r="C328" t="s">
        <v>56</v>
      </c>
      <c r="D328" t="s">
        <v>26</v>
      </c>
      <c r="E328" t="s">
        <v>62</v>
      </c>
      <c r="F328" t="s">
        <v>17</v>
      </c>
      <c r="G328">
        <v>2</v>
      </c>
      <c r="H328">
        <v>50000</v>
      </c>
      <c r="I328">
        <v>40000</v>
      </c>
      <c r="J328">
        <v>100000</v>
      </c>
      <c r="K328">
        <v>80000</v>
      </c>
      <c r="L328">
        <v>20000</v>
      </c>
    </row>
    <row r="329" spans="1:12" x14ac:dyDescent="0.3">
      <c r="A329" t="s">
        <v>577</v>
      </c>
      <c r="B329" t="s">
        <v>55</v>
      </c>
      <c r="C329" t="s">
        <v>56</v>
      </c>
      <c r="D329" t="s">
        <v>36</v>
      </c>
      <c r="E329" t="s">
        <v>21</v>
      </c>
      <c r="F329" t="s">
        <v>22</v>
      </c>
      <c r="G329">
        <v>10</v>
      </c>
      <c r="H329">
        <v>2000</v>
      </c>
      <c r="I329">
        <v>1200</v>
      </c>
      <c r="J329">
        <v>20000</v>
      </c>
      <c r="K329">
        <v>12000</v>
      </c>
      <c r="L329">
        <v>8000</v>
      </c>
    </row>
    <row r="330" spans="1:12" x14ac:dyDescent="0.3">
      <c r="A330" t="s">
        <v>578</v>
      </c>
      <c r="B330" t="s">
        <v>579</v>
      </c>
      <c r="C330" t="s">
        <v>51</v>
      </c>
      <c r="D330" t="s">
        <v>36</v>
      </c>
      <c r="E330" t="s">
        <v>27</v>
      </c>
      <c r="F330" t="s">
        <v>17</v>
      </c>
      <c r="G330">
        <v>6</v>
      </c>
      <c r="H330">
        <v>30000</v>
      </c>
      <c r="I330">
        <v>24000</v>
      </c>
      <c r="J330">
        <v>180000</v>
      </c>
      <c r="K330">
        <v>144000</v>
      </c>
      <c r="L330">
        <v>36000</v>
      </c>
    </row>
    <row r="331" spans="1:12" x14ac:dyDescent="0.3">
      <c r="A331" t="s">
        <v>580</v>
      </c>
      <c r="B331" t="s">
        <v>581</v>
      </c>
      <c r="C331" t="s">
        <v>25</v>
      </c>
      <c r="D331" t="s">
        <v>26</v>
      </c>
      <c r="E331" t="s">
        <v>21</v>
      </c>
      <c r="F331" t="s">
        <v>22</v>
      </c>
      <c r="G331">
        <v>7</v>
      </c>
      <c r="H331">
        <v>2000</v>
      </c>
      <c r="I331">
        <v>1200</v>
      </c>
      <c r="J331">
        <v>14000</v>
      </c>
      <c r="K331">
        <v>8400</v>
      </c>
      <c r="L331">
        <v>5600</v>
      </c>
    </row>
    <row r="332" spans="1:12" x14ac:dyDescent="0.3">
      <c r="A332" t="s">
        <v>582</v>
      </c>
      <c r="B332" t="s">
        <v>462</v>
      </c>
      <c r="C332" t="s">
        <v>14</v>
      </c>
      <c r="D332" t="s">
        <v>31</v>
      </c>
      <c r="E332" t="s">
        <v>21</v>
      </c>
      <c r="F332" t="s">
        <v>22</v>
      </c>
      <c r="G332">
        <v>2</v>
      </c>
      <c r="H332">
        <v>2000</v>
      </c>
      <c r="I332">
        <v>1200</v>
      </c>
      <c r="J332">
        <v>4000</v>
      </c>
      <c r="K332">
        <v>2400</v>
      </c>
      <c r="L332">
        <v>1600</v>
      </c>
    </row>
    <row r="333" spans="1:12" x14ac:dyDescent="0.3">
      <c r="A333" t="s">
        <v>583</v>
      </c>
      <c r="B333" t="s">
        <v>449</v>
      </c>
      <c r="C333" t="s">
        <v>14</v>
      </c>
      <c r="D333" t="s">
        <v>36</v>
      </c>
      <c r="E333" t="s">
        <v>62</v>
      </c>
      <c r="F333" t="s">
        <v>17</v>
      </c>
      <c r="G333">
        <v>6</v>
      </c>
      <c r="H333">
        <v>50000</v>
      </c>
      <c r="I333">
        <v>40000</v>
      </c>
      <c r="J333">
        <v>300000</v>
      </c>
      <c r="K333">
        <v>240000</v>
      </c>
      <c r="L333">
        <v>60000</v>
      </c>
    </row>
    <row r="334" spans="1:12" x14ac:dyDescent="0.3">
      <c r="A334" t="s">
        <v>584</v>
      </c>
      <c r="B334" t="s">
        <v>107</v>
      </c>
      <c r="C334" t="s">
        <v>71</v>
      </c>
      <c r="D334" t="s">
        <v>15</v>
      </c>
      <c r="E334" t="s">
        <v>46</v>
      </c>
      <c r="F334" t="s">
        <v>17</v>
      </c>
      <c r="G334">
        <v>5</v>
      </c>
      <c r="H334">
        <v>20000</v>
      </c>
      <c r="I334">
        <v>15000</v>
      </c>
      <c r="J334">
        <v>100000</v>
      </c>
      <c r="K334">
        <v>75000</v>
      </c>
      <c r="L334">
        <v>25000</v>
      </c>
    </row>
    <row r="335" spans="1:12" x14ac:dyDescent="0.3">
      <c r="A335" t="s">
        <v>585</v>
      </c>
      <c r="B335" t="s">
        <v>102</v>
      </c>
      <c r="C335" t="s">
        <v>56</v>
      </c>
      <c r="D335" t="s">
        <v>26</v>
      </c>
      <c r="E335" t="s">
        <v>27</v>
      </c>
      <c r="F335" t="s">
        <v>17</v>
      </c>
      <c r="G335">
        <v>4</v>
      </c>
      <c r="H335">
        <v>30000</v>
      </c>
      <c r="I335">
        <v>24000</v>
      </c>
      <c r="J335">
        <v>120000</v>
      </c>
      <c r="K335">
        <v>96000</v>
      </c>
      <c r="L335">
        <v>24000</v>
      </c>
    </row>
    <row r="336" spans="1:12" x14ac:dyDescent="0.3">
      <c r="A336" t="s">
        <v>586</v>
      </c>
      <c r="B336" t="s">
        <v>587</v>
      </c>
      <c r="C336" t="s">
        <v>39</v>
      </c>
      <c r="D336" t="s">
        <v>31</v>
      </c>
      <c r="E336" t="s">
        <v>21</v>
      </c>
      <c r="F336" t="s">
        <v>22</v>
      </c>
      <c r="G336">
        <v>7</v>
      </c>
      <c r="H336">
        <v>2000</v>
      </c>
      <c r="I336">
        <v>1200</v>
      </c>
      <c r="J336">
        <v>14000</v>
      </c>
      <c r="K336">
        <v>8400</v>
      </c>
      <c r="L336">
        <v>5600</v>
      </c>
    </row>
    <row r="337" spans="1:12" x14ac:dyDescent="0.3">
      <c r="A337" t="s">
        <v>588</v>
      </c>
      <c r="B337" t="s">
        <v>350</v>
      </c>
      <c r="C337" t="s">
        <v>20</v>
      </c>
      <c r="D337" t="s">
        <v>26</v>
      </c>
      <c r="E337" t="s">
        <v>16</v>
      </c>
      <c r="F337" t="s">
        <v>17</v>
      </c>
      <c r="G337">
        <v>3</v>
      </c>
      <c r="H337">
        <v>15000</v>
      </c>
      <c r="I337">
        <v>11000</v>
      </c>
      <c r="J337">
        <v>45000</v>
      </c>
      <c r="K337">
        <v>33000</v>
      </c>
      <c r="L337">
        <v>12000</v>
      </c>
    </row>
    <row r="338" spans="1:12" x14ac:dyDescent="0.3">
      <c r="A338" t="s">
        <v>589</v>
      </c>
      <c r="B338" t="s">
        <v>96</v>
      </c>
      <c r="C338" t="s">
        <v>71</v>
      </c>
      <c r="D338" t="s">
        <v>31</v>
      </c>
      <c r="E338" t="s">
        <v>46</v>
      </c>
      <c r="F338" t="s">
        <v>17</v>
      </c>
      <c r="G338">
        <v>7</v>
      </c>
      <c r="H338">
        <v>20000</v>
      </c>
      <c r="I338">
        <v>15000</v>
      </c>
      <c r="J338">
        <v>140000</v>
      </c>
      <c r="K338">
        <v>105000</v>
      </c>
      <c r="L338">
        <v>35000</v>
      </c>
    </row>
    <row r="339" spans="1:12" x14ac:dyDescent="0.3">
      <c r="A339" t="s">
        <v>590</v>
      </c>
      <c r="B339" t="s">
        <v>391</v>
      </c>
      <c r="C339" t="s">
        <v>56</v>
      </c>
      <c r="D339" t="s">
        <v>31</v>
      </c>
      <c r="E339" t="s">
        <v>27</v>
      </c>
      <c r="F339" t="s">
        <v>17</v>
      </c>
      <c r="G339">
        <v>9</v>
      </c>
      <c r="H339">
        <v>30000</v>
      </c>
      <c r="I339">
        <v>24000</v>
      </c>
      <c r="J339">
        <v>270000</v>
      </c>
      <c r="K339">
        <v>216000</v>
      </c>
      <c r="L339">
        <v>54000</v>
      </c>
    </row>
    <row r="340" spans="1:12" x14ac:dyDescent="0.3">
      <c r="A340" t="s">
        <v>591</v>
      </c>
      <c r="B340" t="s">
        <v>592</v>
      </c>
      <c r="C340" t="s">
        <v>45</v>
      </c>
      <c r="D340" t="s">
        <v>15</v>
      </c>
      <c r="E340" t="s">
        <v>16</v>
      </c>
      <c r="F340" t="s">
        <v>17</v>
      </c>
      <c r="G340">
        <v>4</v>
      </c>
      <c r="H340">
        <v>15000</v>
      </c>
      <c r="I340">
        <v>11000</v>
      </c>
      <c r="J340">
        <v>60000</v>
      </c>
      <c r="K340">
        <v>44000</v>
      </c>
      <c r="L340">
        <v>16000</v>
      </c>
    </row>
    <row r="341" spans="1:12" x14ac:dyDescent="0.3">
      <c r="A341" t="s">
        <v>593</v>
      </c>
      <c r="B341" t="s">
        <v>131</v>
      </c>
      <c r="C341" t="s">
        <v>20</v>
      </c>
      <c r="D341" t="s">
        <v>31</v>
      </c>
      <c r="E341" t="s">
        <v>21</v>
      </c>
      <c r="F341" t="s">
        <v>22</v>
      </c>
      <c r="G341">
        <v>3</v>
      </c>
      <c r="H341">
        <v>2000</v>
      </c>
      <c r="I341">
        <v>1200</v>
      </c>
      <c r="J341">
        <v>6000</v>
      </c>
      <c r="K341">
        <v>3600</v>
      </c>
      <c r="L341">
        <v>2400</v>
      </c>
    </row>
    <row r="342" spans="1:12" x14ac:dyDescent="0.3">
      <c r="A342" t="s">
        <v>594</v>
      </c>
      <c r="B342" t="s">
        <v>171</v>
      </c>
      <c r="C342" t="s">
        <v>51</v>
      </c>
      <c r="D342" t="s">
        <v>31</v>
      </c>
      <c r="E342" t="s">
        <v>27</v>
      </c>
      <c r="F342" t="s">
        <v>17</v>
      </c>
      <c r="G342">
        <v>7</v>
      </c>
      <c r="H342">
        <v>30000</v>
      </c>
      <c r="I342">
        <v>24000</v>
      </c>
      <c r="J342">
        <v>210000</v>
      </c>
      <c r="K342">
        <v>168000</v>
      </c>
      <c r="L342">
        <v>42000</v>
      </c>
    </row>
    <row r="343" spans="1:12" x14ac:dyDescent="0.3">
      <c r="A343" t="s">
        <v>595</v>
      </c>
      <c r="B343" t="s">
        <v>596</v>
      </c>
      <c r="C343" t="s">
        <v>51</v>
      </c>
      <c r="D343" t="s">
        <v>15</v>
      </c>
      <c r="E343" t="s">
        <v>62</v>
      </c>
      <c r="F343" t="s">
        <v>17</v>
      </c>
      <c r="G343">
        <v>4</v>
      </c>
      <c r="H343">
        <v>50000</v>
      </c>
      <c r="I343">
        <v>40000</v>
      </c>
      <c r="J343">
        <v>200000</v>
      </c>
      <c r="K343">
        <v>160000</v>
      </c>
      <c r="L343">
        <v>40000</v>
      </c>
    </row>
    <row r="344" spans="1:12" x14ac:dyDescent="0.3">
      <c r="A344" t="s">
        <v>597</v>
      </c>
      <c r="B344" t="s">
        <v>50</v>
      </c>
      <c r="C344" t="s">
        <v>51</v>
      </c>
      <c r="D344" t="s">
        <v>31</v>
      </c>
      <c r="E344" t="s">
        <v>21</v>
      </c>
      <c r="F344" t="s">
        <v>22</v>
      </c>
      <c r="G344">
        <v>10</v>
      </c>
      <c r="H344">
        <v>2000</v>
      </c>
      <c r="I344">
        <v>1200</v>
      </c>
      <c r="J344">
        <v>20000</v>
      </c>
      <c r="K344">
        <v>12000</v>
      </c>
      <c r="L344">
        <v>8000</v>
      </c>
    </row>
    <row r="345" spans="1:12" x14ac:dyDescent="0.3">
      <c r="A345" t="s">
        <v>598</v>
      </c>
      <c r="B345" t="s">
        <v>254</v>
      </c>
      <c r="C345" t="s">
        <v>20</v>
      </c>
      <c r="D345" t="s">
        <v>36</v>
      </c>
      <c r="E345" t="s">
        <v>21</v>
      </c>
      <c r="F345" t="s">
        <v>22</v>
      </c>
      <c r="G345">
        <v>2</v>
      </c>
      <c r="H345">
        <v>2000</v>
      </c>
      <c r="I345">
        <v>1200</v>
      </c>
      <c r="J345">
        <v>4000</v>
      </c>
      <c r="K345">
        <v>2400</v>
      </c>
      <c r="L345">
        <v>1600</v>
      </c>
    </row>
    <row r="346" spans="1:12" x14ac:dyDescent="0.3">
      <c r="A346" t="s">
        <v>599</v>
      </c>
      <c r="B346" t="s">
        <v>242</v>
      </c>
      <c r="C346" t="s">
        <v>30</v>
      </c>
      <c r="D346" t="s">
        <v>26</v>
      </c>
      <c r="E346" t="s">
        <v>21</v>
      </c>
      <c r="F346" t="s">
        <v>22</v>
      </c>
      <c r="G346">
        <v>3</v>
      </c>
      <c r="H346">
        <v>2000</v>
      </c>
      <c r="I346">
        <v>1200</v>
      </c>
      <c r="J346">
        <v>6000</v>
      </c>
      <c r="K346">
        <v>3600</v>
      </c>
      <c r="L346">
        <v>2400</v>
      </c>
    </row>
    <row r="347" spans="1:12" x14ac:dyDescent="0.3">
      <c r="A347" t="s">
        <v>600</v>
      </c>
      <c r="B347" t="s">
        <v>601</v>
      </c>
      <c r="C347" t="s">
        <v>25</v>
      </c>
      <c r="D347" t="s">
        <v>31</v>
      </c>
      <c r="E347" t="s">
        <v>21</v>
      </c>
      <c r="F347" t="s">
        <v>22</v>
      </c>
      <c r="G347">
        <v>6</v>
      </c>
      <c r="H347">
        <v>2000</v>
      </c>
      <c r="I347">
        <v>1200</v>
      </c>
      <c r="J347">
        <v>12000</v>
      </c>
      <c r="K347">
        <v>7200</v>
      </c>
      <c r="L347">
        <v>4800</v>
      </c>
    </row>
    <row r="348" spans="1:12" x14ac:dyDescent="0.3">
      <c r="A348" t="s">
        <v>602</v>
      </c>
      <c r="B348" t="s">
        <v>504</v>
      </c>
      <c r="C348" t="s">
        <v>45</v>
      </c>
      <c r="D348" t="s">
        <v>36</v>
      </c>
      <c r="E348" t="s">
        <v>16</v>
      </c>
      <c r="F348" t="s">
        <v>17</v>
      </c>
      <c r="G348">
        <v>8</v>
      </c>
      <c r="H348">
        <v>15000</v>
      </c>
      <c r="I348">
        <v>11000</v>
      </c>
      <c r="J348">
        <v>120000</v>
      </c>
      <c r="K348">
        <v>88000</v>
      </c>
      <c r="L348">
        <v>32000</v>
      </c>
    </row>
    <row r="349" spans="1:12" x14ac:dyDescent="0.3">
      <c r="A349" t="s">
        <v>603</v>
      </c>
      <c r="B349" t="s">
        <v>254</v>
      </c>
      <c r="C349" t="s">
        <v>20</v>
      </c>
      <c r="D349" t="s">
        <v>36</v>
      </c>
      <c r="E349" t="s">
        <v>16</v>
      </c>
      <c r="F349" t="s">
        <v>17</v>
      </c>
      <c r="G349">
        <v>5</v>
      </c>
      <c r="H349">
        <v>15000</v>
      </c>
      <c r="I349">
        <v>11000</v>
      </c>
      <c r="J349">
        <v>75000</v>
      </c>
      <c r="K349">
        <v>55000</v>
      </c>
      <c r="L349">
        <v>20000</v>
      </c>
    </row>
    <row r="350" spans="1:12" x14ac:dyDescent="0.3">
      <c r="A350" t="s">
        <v>604</v>
      </c>
      <c r="B350" t="s">
        <v>133</v>
      </c>
      <c r="C350" t="s">
        <v>42</v>
      </c>
      <c r="D350" t="s">
        <v>31</v>
      </c>
      <c r="E350" t="s">
        <v>46</v>
      </c>
      <c r="F350" t="s">
        <v>17</v>
      </c>
      <c r="G350">
        <v>9</v>
      </c>
      <c r="H350">
        <v>20000</v>
      </c>
      <c r="I350">
        <v>15000</v>
      </c>
      <c r="J350">
        <v>180000</v>
      </c>
      <c r="K350">
        <v>135000</v>
      </c>
      <c r="L350">
        <v>45000</v>
      </c>
    </row>
    <row r="351" spans="1:12" x14ac:dyDescent="0.3">
      <c r="A351" t="s">
        <v>605</v>
      </c>
      <c r="B351" t="s">
        <v>606</v>
      </c>
      <c r="C351" t="s">
        <v>42</v>
      </c>
      <c r="D351" t="s">
        <v>15</v>
      </c>
      <c r="E351" t="s">
        <v>27</v>
      </c>
      <c r="F351" t="s">
        <v>17</v>
      </c>
      <c r="G351">
        <v>4</v>
      </c>
      <c r="H351">
        <v>30000</v>
      </c>
      <c r="I351">
        <v>24000</v>
      </c>
      <c r="J351">
        <v>120000</v>
      </c>
      <c r="K351">
        <v>96000</v>
      </c>
      <c r="L351">
        <v>24000</v>
      </c>
    </row>
    <row r="352" spans="1:12" x14ac:dyDescent="0.3">
      <c r="A352" t="s">
        <v>607</v>
      </c>
      <c r="B352" t="s">
        <v>378</v>
      </c>
      <c r="C352" t="s">
        <v>51</v>
      </c>
      <c r="D352" t="s">
        <v>26</v>
      </c>
      <c r="E352" t="s">
        <v>16</v>
      </c>
      <c r="F352" t="s">
        <v>17</v>
      </c>
      <c r="G352">
        <v>6</v>
      </c>
      <c r="H352">
        <v>15000</v>
      </c>
      <c r="I352">
        <v>11000</v>
      </c>
      <c r="J352">
        <v>90000</v>
      </c>
      <c r="K352">
        <v>66000</v>
      </c>
      <c r="L352">
        <v>24000</v>
      </c>
    </row>
    <row r="353" spans="1:12" x14ac:dyDescent="0.3">
      <c r="A353" t="s">
        <v>608</v>
      </c>
      <c r="B353" t="s">
        <v>609</v>
      </c>
      <c r="C353" t="s">
        <v>121</v>
      </c>
      <c r="D353" t="s">
        <v>15</v>
      </c>
      <c r="E353" t="s">
        <v>27</v>
      </c>
      <c r="F353" t="s">
        <v>17</v>
      </c>
      <c r="G353">
        <v>3</v>
      </c>
      <c r="H353">
        <v>30000</v>
      </c>
      <c r="I353">
        <v>24000</v>
      </c>
      <c r="J353">
        <v>90000</v>
      </c>
      <c r="K353">
        <v>72000</v>
      </c>
      <c r="L353">
        <v>18000</v>
      </c>
    </row>
    <row r="354" spans="1:12" x14ac:dyDescent="0.3">
      <c r="A354" t="s">
        <v>610</v>
      </c>
      <c r="B354" t="s">
        <v>472</v>
      </c>
      <c r="C354" t="s">
        <v>20</v>
      </c>
      <c r="D354" t="s">
        <v>31</v>
      </c>
      <c r="E354" t="s">
        <v>62</v>
      </c>
      <c r="F354" t="s">
        <v>17</v>
      </c>
      <c r="G354">
        <v>3</v>
      </c>
      <c r="H354">
        <v>50000</v>
      </c>
      <c r="I354">
        <v>40000</v>
      </c>
      <c r="J354">
        <v>150000</v>
      </c>
      <c r="K354">
        <v>120000</v>
      </c>
      <c r="L354">
        <v>30000</v>
      </c>
    </row>
    <row r="355" spans="1:12" x14ac:dyDescent="0.3">
      <c r="A355" t="s">
        <v>611</v>
      </c>
      <c r="B355" t="s">
        <v>154</v>
      </c>
      <c r="C355" t="s">
        <v>14</v>
      </c>
      <c r="D355" t="s">
        <v>15</v>
      </c>
      <c r="E355" t="s">
        <v>62</v>
      </c>
      <c r="F355" t="s">
        <v>17</v>
      </c>
      <c r="G355">
        <v>6</v>
      </c>
      <c r="H355">
        <v>50000</v>
      </c>
      <c r="I355">
        <v>40000</v>
      </c>
      <c r="J355">
        <v>300000</v>
      </c>
      <c r="K355">
        <v>240000</v>
      </c>
      <c r="L355">
        <v>60000</v>
      </c>
    </row>
    <row r="356" spans="1:12" x14ac:dyDescent="0.3">
      <c r="A356" t="s">
        <v>612</v>
      </c>
      <c r="B356" t="s">
        <v>549</v>
      </c>
      <c r="C356" t="s">
        <v>20</v>
      </c>
      <c r="D356" t="s">
        <v>36</v>
      </c>
      <c r="E356" t="s">
        <v>62</v>
      </c>
      <c r="F356" t="s">
        <v>17</v>
      </c>
      <c r="G356">
        <v>2</v>
      </c>
      <c r="H356">
        <v>50000</v>
      </c>
      <c r="I356">
        <v>40000</v>
      </c>
      <c r="J356">
        <v>100000</v>
      </c>
      <c r="K356">
        <v>80000</v>
      </c>
      <c r="L356">
        <v>20000</v>
      </c>
    </row>
    <row r="357" spans="1:12" x14ac:dyDescent="0.3">
      <c r="A357" t="s">
        <v>613</v>
      </c>
      <c r="B357" t="s">
        <v>614</v>
      </c>
      <c r="C357" t="s">
        <v>39</v>
      </c>
      <c r="D357" t="s">
        <v>26</v>
      </c>
      <c r="E357" t="s">
        <v>46</v>
      </c>
      <c r="F357" t="s">
        <v>17</v>
      </c>
      <c r="G357">
        <v>1</v>
      </c>
      <c r="H357">
        <v>20000</v>
      </c>
      <c r="I357">
        <v>15000</v>
      </c>
      <c r="J357">
        <v>20000</v>
      </c>
      <c r="K357">
        <v>15000</v>
      </c>
      <c r="L357">
        <v>5000</v>
      </c>
    </row>
    <row r="358" spans="1:12" x14ac:dyDescent="0.3">
      <c r="A358" t="s">
        <v>615</v>
      </c>
      <c r="B358" t="s">
        <v>498</v>
      </c>
      <c r="C358" t="s">
        <v>20</v>
      </c>
      <c r="D358" t="s">
        <v>15</v>
      </c>
      <c r="E358" t="s">
        <v>16</v>
      </c>
      <c r="F358" t="s">
        <v>17</v>
      </c>
      <c r="G358">
        <v>2</v>
      </c>
      <c r="H358">
        <v>15000</v>
      </c>
      <c r="I358">
        <v>11000</v>
      </c>
      <c r="J358">
        <v>30000</v>
      </c>
      <c r="K358">
        <v>22000</v>
      </c>
      <c r="L358">
        <v>8000</v>
      </c>
    </row>
    <row r="359" spans="1:12" x14ac:dyDescent="0.3">
      <c r="A359" t="s">
        <v>616</v>
      </c>
      <c r="B359" t="s">
        <v>414</v>
      </c>
      <c r="C359" t="s">
        <v>14</v>
      </c>
      <c r="D359" t="s">
        <v>31</v>
      </c>
      <c r="E359" t="s">
        <v>46</v>
      </c>
      <c r="F359" t="s">
        <v>17</v>
      </c>
      <c r="G359">
        <v>8</v>
      </c>
      <c r="H359">
        <v>20000</v>
      </c>
      <c r="I359">
        <v>15000</v>
      </c>
      <c r="J359">
        <v>160000</v>
      </c>
      <c r="K359">
        <v>120000</v>
      </c>
      <c r="L359">
        <v>40000</v>
      </c>
    </row>
    <row r="360" spans="1:12" x14ac:dyDescent="0.3">
      <c r="A360" t="s">
        <v>617</v>
      </c>
      <c r="B360" t="s">
        <v>33</v>
      </c>
      <c r="C360" t="s">
        <v>14</v>
      </c>
      <c r="D360" t="s">
        <v>36</v>
      </c>
      <c r="E360" t="s">
        <v>27</v>
      </c>
      <c r="F360" t="s">
        <v>17</v>
      </c>
      <c r="G360">
        <v>1</v>
      </c>
      <c r="H360">
        <v>30000</v>
      </c>
      <c r="I360">
        <v>24000</v>
      </c>
      <c r="J360">
        <v>30000</v>
      </c>
      <c r="K360">
        <v>24000</v>
      </c>
      <c r="L360">
        <v>6000</v>
      </c>
    </row>
    <row r="361" spans="1:12" x14ac:dyDescent="0.3">
      <c r="A361" t="s">
        <v>618</v>
      </c>
      <c r="B361" t="s">
        <v>568</v>
      </c>
      <c r="C361" t="s">
        <v>121</v>
      </c>
      <c r="D361" t="s">
        <v>26</v>
      </c>
      <c r="E361" t="s">
        <v>62</v>
      </c>
      <c r="F361" t="s">
        <v>17</v>
      </c>
      <c r="G361">
        <v>7</v>
      </c>
      <c r="H361">
        <v>50000</v>
      </c>
      <c r="I361">
        <v>40000</v>
      </c>
      <c r="J361">
        <v>350000</v>
      </c>
      <c r="K361">
        <v>280000</v>
      </c>
      <c r="L361">
        <v>70000</v>
      </c>
    </row>
    <row r="362" spans="1:12" x14ac:dyDescent="0.3">
      <c r="A362" t="s">
        <v>619</v>
      </c>
      <c r="B362" t="s">
        <v>48</v>
      </c>
      <c r="C362" t="s">
        <v>45</v>
      </c>
      <c r="D362" t="s">
        <v>26</v>
      </c>
      <c r="E362" t="s">
        <v>27</v>
      </c>
      <c r="F362" t="s">
        <v>17</v>
      </c>
      <c r="G362">
        <v>6</v>
      </c>
      <c r="H362">
        <v>30000</v>
      </c>
      <c r="I362">
        <v>24000</v>
      </c>
      <c r="J362">
        <v>180000</v>
      </c>
      <c r="K362">
        <v>144000</v>
      </c>
      <c r="L362">
        <v>36000</v>
      </c>
    </row>
    <row r="363" spans="1:12" x14ac:dyDescent="0.3">
      <c r="A363" t="s">
        <v>620</v>
      </c>
      <c r="B363" t="s">
        <v>50</v>
      </c>
      <c r="C363" t="s">
        <v>51</v>
      </c>
      <c r="D363" t="s">
        <v>36</v>
      </c>
      <c r="E363" t="s">
        <v>16</v>
      </c>
      <c r="F363" t="s">
        <v>17</v>
      </c>
      <c r="G363">
        <v>9</v>
      </c>
      <c r="H363">
        <v>15000</v>
      </c>
      <c r="I363">
        <v>11000</v>
      </c>
      <c r="J363">
        <v>135000</v>
      </c>
      <c r="K363">
        <v>99000</v>
      </c>
      <c r="L363">
        <v>36000</v>
      </c>
    </row>
    <row r="364" spans="1:12" x14ac:dyDescent="0.3">
      <c r="A364" t="s">
        <v>621</v>
      </c>
      <c r="B364" t="s">
        <v>335</v>
      </c>
      <c r="C364" t="s">
        <v>25</v>
      </c>
      <c r="D364" t="s">
        <v>31</v>
      </c>
      <c r="E364" t="s">
        <v>16</v>
      </c>
      <c r="F364" t="s">
        <v>17</v>
      </c>
      <c r="G364">
        <v>1</v>
      </c>
      <c r="H364">
        <v>15000</v>
      </c>
      <c r="I364">
        <v>11000</v>
      </c>
      <c r="J364">
        <v>15000</v>
      </c>
      <c r="K364">
        <v>11000</v>
      </c>
      <c r="L364">
        <v>4000</v>
      </c>
    </row>
    <row r="365" spans="1:12" x14ac:dyDescent="0.3">
      <c r="A365" t="s">
        <v>622</v>
      </c>
      <c r="B365" t="s">
        <v>389</v>
      </c>
      <c r="C365" t="s">
        <v>45</v>
      </c>
      <c r="D365" t="s">
        <v>31</v>
      </c>
      <c r="E365" t="s">
        <v>46</v>
      </c>
      <c r="F365" t="s">
        <v>17</v>
      </c>
      <c r="G365">
        <v>7</v>
      </c>
      <c r="H365">
        <v>20000</v>
      </c>
      <c r="I365">
        <v>15000</v>
      </c>
      <c r="J365">
        <v>140000</v>
      </c>
      <c r="K365">
        <v>105000</v>
      </c>
      <c r="L365">
        <v>35000</v>
      </c>
    </row>
    <row r="366" spans="1:12" x14ac:dyDescent="0.3">
      <c r="A366" t="s">
        <v>623</v>
      </c>
      <c r="B366" t="s">
        <v>624</v>
      </c>
      <c r="C366" t="s">
        <v>90</v>
      </c>
      <c r="D366" t="s">
        <v>26</v>
      </c>
      <c r="E366" t="s">
        <v>21</v>
      </c>
      <c r="F366" t="s">
        <v>22</v>
      </c>
      <c r="G366">
        <v>6</v>
      </c>
      <c r="H366">
        <v>2000</v>
      </c>
      <c r="I366">
        <v>1200</v>
      </c>
      <c r="J366">
        <v>12000</v>
      </c>
      <c r="K366">
        <v>7200</v>
      </c>
      <c r="L366">
        <v>4800</v>
      </c>
    </row>
    <row r="367" spans="1:12" x14ac:dyDescent="0.3">
      <c r="A367" t="s">
        <v>625</v>
      </c>
      <c r="B367" t="s">
        <v>513</v>
      </c>
      <c r="C367" t="s">
        <v>25</v>
      </c>
      <c r="D367" t="s">
        <v>36</v>
      </c>
      <c r="E367" t="s">
        <v>16</v>
      </c>
      <c r="F367" t="s">
        <v>17</v>
      </c>
      <c r="G367">
        <v>8</v>
      </c>
      <c r="H367">
        <v>15000</v>
      </c>
      <c r="I367">
        <v>11000</v>
      </c>
      <c r="J367">
        <v>120000</v>
      </c>
      <c r="K367">
        <v>88000</v>
      </c>
      <c r="L367">
        <v>32000</v>
      </c>
    </row>
    <row r="368" spans="1:12" x14ac:dyDescent="0.3">
      <c r="A368" t="s">
        <v>626</v>
      </c>
      <c r="B368" t="s">
        <v>118</v>
      </c>
      <c r="C368" t="s">
        <v>25</v>
      </c>
      <c r="D368" t="s">
        <v>26</v>
      </c>
      <c r="E368" t="s">
        <v>46</v>
      </c>
      <c r="F368" t="s">
        <v>17</v>
      </c>
      <c r="G368">
        <v>6</v>
      </c>
      <c r="H368">
        <v>20000</v>
      </c>
      <c r="I368">
        <v>15000</v>
      </c>
      <c r="J368">
        <v>120000</v>
      </c>
      <c r="K368">
        <v>90000</v>
      </c>
      <c r="L368">
        <v>30000</v>
      </c>
    </row>
    <row r="369" spans="1:12" x14ac:dyDescent="0.3">
      <c r="A369" t="s">
        <v>627</v>
      </c>
      <c r="B369" t="s">
        <v>136</v>
      </c>
      <c r="C369" t="s">
        <v>30</v>
      </c>
      <c r="D369" t="s">
        <v>26</v>
      </c>
      <c r="E369" t="s">
        <v>46</v>
      </c>
      <c r="F369" t="s">
        <v>17</v>
      </c>
      <c r="G369">
        <v>1</v>
      </c>
      <c r="H369">
        <v>20000</v>
      </c>
      <c r="I369">
        <v>15000</v>
      </c>
      <c r="J369">
        <v>20000</v>
      </c>
      <c r="K369">
        <v>15000</v>
      </c>
      <c r="L369">
        <v>5000</v>
      </c>
    </row>
    <row r="370" spans="1:12" x14ac:dyDescent="0.3">
      <c r="A370" t="s">
        <v>628</v>
      </c>
      <c r="B370" t="s">
        <v>131</v>
      </c>
      <c r="C370" t="s">
        <v>20</v>
      </c>
      <c r="D370" t="s">
        <v>26</v>
      </c>
      <c r="E370" t="s">
        <v>21</v>
      </c>
      <c r="F370" t="s">
        <v>22</v>
      </c>
      <c r="G370">
        <v>10</v>
      </c>
      <c r="H370">
        <v>2000</v>
      </c>
      <c r="I370">
        <v>1200</v>
      </c>
      <c r="J370">
        <v>20000</v>
      </c>
      <c r="K370">
        <v>12000</v>
      </c>
      <c r="L370">
        <v>8000</v>
      </c>
    </row>
    <row r="371" spans="1:12" x14ac:dyDescent="0.3">
      <c r="A371" t="s">
        <v>629</v>
      </c>
      <c r="B371" t="s">
        <v>316</v>
      </c>
      <c r="C371" t="s">
        <v>30</v>
      </c>
      <c r="D371" t="s">
        <v>31</v>
      </c>
      <c r="E371" t="s">
        <v>27</v>
      </c>
      <c r="F371" t="s">
        <v>17</v>
      </c>
      <c r="G371">
        <v>4</v>
      </c>
      <c r="H371">
        <v>30000</v>
      </c>
      <c r="I371">
        <v>24000</v>
      </c>
      <c r="J371">
        <v>120000</v>
      </c>
      <c r="K371">
        <v>96000</v>
      </c>
      <c r="L371">
        <v>24000</v>
      </c>
    </row>
    <row r="372" spans="1:12" x14ac:dyDescent="0.3">
      <c r="A372" t="s">
        <v>630</v>
      </c>
      <c r="B372" t="s">
        <v>513</v>
      </c>
      <c r="C372" t="s">
        <v>25</v>
      </c>
      <c r="D372" t="s">
        <v>36</v>
      </c>
      <c r="E372" t="s">
        <v>46</v>
      </c>
      <c r="F372" t="s">
        <v>17</v>
      </c>
      <c r="G372">
        <v>7</v>
      </c>
      <c r="H372">
        <v>20000</v>
      </c>
      <c r="I372">
        <v>15000</v>
      </c>
      <c r="J372">
        <v>140000</v>
      </c>
      <c r="K372">
        <v>105000</v>
      </c>
      <c r="L372">
        <v>35000</v>
      </c>
    </row>
    <row r="373" spans="1:12" x14ac:dyDescent="0.3">
      <c r="A373" t="s">
        <v>631</v>
      </c>
      <c r="B373" t="s">
        <v>632</v>
      </c>
      <c r="C373" t="s">
        <v>14</v>
      </c>
      <c r="D373" t="s">
        <v>36</v>
      </c>
      <c r="E373" t="s">
        <v>46</v>
      </c>
      <c r="F373" t="s">
        <v>17</v>
      </c>
      <c r="G373">
        <v>3</v>
      </c>
      <c r="H373">
        <v>20000</v>
      </c>
      <c r="I373">
        <v>15000</v>
      </c>
      <c r="J373">
        <v>60000</v>
      </c>
      <c r="K373">
        <v>45000</v>
      </c>
      <c r="L373">
        <v>15000</v>
      </c>
    </row>
    <row r="374" spans="1:12" x14ac:dyDescent="0.3">
      <c r="A374" t="s">
        <v>633</v>
      </c>
      <c r="B374" t="s">
        <v>38</v>
      </c>
      <c r="C374" t="s">
        <v>39</v>
      </c>
      <c r="D374" t="s">
        <v>15</v>
      </c>
      <c r="E374" t="s">
        <v>27</v>
      </c>
      <c r="F374" t="s">
        <v>17</v>
      </c>
      <c r="G374">
        <v>4</v>
      </c>
      <c r="H374">
        <v>30000</v>
      </c>
      <c r="I374">
        <v>24000</v>
      </c>
      <c r="J374">
        <v>120000</v>
      </c>
      <c r="K374">
        <v>96000</v>
      </c>
      <c r="L374">
        <v>24000</v>
      </c>
    </row>
    <row r="375" spans="1:12" x14ac:dyDescent="0.3">
      <c r="A375" t="s">
        <v>634</v>
      </c>
      <c r="B375" t="s">
        <v>635</v>
      </c>
      <c r="C375" t="s">
        <v>25</v>
      </c>
      <c r="D375" t="s">
        <v>31</v>
      </c>
      <c r="E375" t="s">
        <v>21</v>
      </c>
      <c r="F375" t="s">
        <v>22</v>
      </c>
      <c r="G375">
        <v>2</v>
      </c>
      <c r="H375">
        <v>2000</v>
      </c>
      <c r="I375">
        <v>1200</v>
      </c>
      <c r="J375">
        <v>4000</v>
      </c>
      <c r="K375">
        <v>2400</v>
      </c>
      <c r="L375">
        <v>1600</v>
      </c>
    </row>
    <row r="376" spans="1:12" x14ac:dyDescent="0.3">
      <c r="A376" t="s">
        <v>636</v>
      </c>
      <c r="B376" t="s">
        <v>295</v>
      </c>
      <c r="C376" t="s">
        <v>71</v>
      </c>
      <c r="D376" t="s">
        <v>31</v>
      </c>
      <c r="E376" t="s">
        <v>16</v>
      </c>
      <c r="F376" t="s">
        <v>17</v>
      </c>
      <c r="G376">
        <v>8</v>
      </c>
      <c r="H376">
        <v>15000</v>
      </c>
      <c r="I376">
        <v>11000</v>
      </c>
      <c r="J376">
        <v>120000</v>
      </c>
      <c r="K376">
        <v>88000</v>
      </c>
      <c r="L376">
        <v>32000</v>
      </c>
    </row>
    <row r="377" spans="1:12" x14ac:dyDescent="0.3">
      <c r="A377" t="s">
        <v>637</v>
      </c>
      <c r="B377" t="s">
        <v>109</v>
      </c>
      <c r="C377" t="s">
        <v>51</v>
      </c>
      <c r="D377" t="s">
        <v>26</v>
      </c>
      <c r="E377" t="s">
        <v>62</v>
      </c>
      <c r="F377" t="s">
        <v>17</v>
      </c>
      <c r="G377">
        <v>3</v>
      </c>
      <c r="H377">
        <v>50000</v>
      </c>
      <c r="I377">
        <v>40000</v>
      </c>
      <c r="J377">
        <v>150000</v>
      </c>
      <c r="K377">
        <v>120000</v>
      </c>
      <c r="L377">
        <v>30000</v>
      </c>
    </row>
    <row r="378" spans="1:12" x14ac:dyDescent="0.3">
      <c r="A378" t="s">
        <v>638</v>
      </c>
      <c r="B378" t="s">
        <v>393</v>
      </c>
      <c r="C378" t="s">
        <v>30</v>
      </c>
      <c r="D378" t="s">
        <v>31</v>
      </c>
      <c r="E378" t="s">
        <v>46</v>
      </c>
      <c r="F378" t="s">
        <v>17</v>
      </c>
      <c r="G378">
        <v>2</v>
      </c>
      <c r="H378">
        <v>20000</v>
      </c>
      <c r="I378">
        <v>15000</v>
      </c>
      <c r="J378">
        <v>40000</v>
      </c>
      <c r="K378">
        <v>30000</v>
      </c>
      <c r="L378">
        <v>10000</v>
      </c>
    </row>
    <row r="379" spans="1:12" x14ac:dyDescent="0.3">
      <c r="A379" t="s">
        <v>639</v>
      </c>
      <c r="B379" t="s">
        <v>640</v>
      </c>
      <c r="C379" t="s">
        <v>30</v>
      </c>
      <c r="D379" t="s">
        <v>26</v>
      </c>
      <c r="E379" t="s">
        <v>16</v>
      </c>
      <c r="F379" t="s">
        <v>17</v>
      </c>
      <c r="G379">
        <v>9</v>
      </c>
      <c r="H379">
        <v>15000</v>
      </c>
      <c r="I379">
        <v>11000</v>
      </c>
      <c r="J379">
        <v>135000</v>
      </c>
      <c r="K379">
        <v>99000</v>
      </c>
      <c r="L379">
        <v>36000</v>
      </c>
    </row>
    <row r="380" spans="1:12" x14ac:dyDescent="0.3">
      <c r="A380" t="s">
        <v>641</v>
      </c>
      <c r="B380" t="s">
        <v>133</v>
      </c>
      <c r="C380" t="s">
        <v>42</v>
      </c>
      <c r="D380" t="s">
        <v>26</v>
      </c>
      <c r="E380" t="s">
        <v>62</v>
      </c>
      <c r="F380" t="s">
        <v>17</v>
      </c>
      <c r="G380">
        <v>4</v>
      </c>
      <c r="H380">
        <v>50000</v>
      </c>
      <c r="I380">
        <v>40000</v>
      </c>
      <c r="J380">
        <v>200000</v>
      </c>
      <c r="K380">
        <v>160000</v>
      </c>
      <c r="L380">
        <v>40000</v>
      </c>
    </row>
    <row r="381" spans="1:12" x14ac:dyDescent="0.3">
      <c r="A381" t="s">
        <v>642</v>
      </c>
      <c r="B381" t="s">
        <v>105</v>
      </c>
      <c r="C381" t="s">
        <v>90</v>
      </c>
      <c r="D381" t="s">
        <v>31</v>
      </c>
      <c r="E381" t="s">
        <v>46</v>
      </c>
      <c r="F381" t="s">
        <v>17</v>
      </c>
      <c r="G381">
        <v>9</v>
      </c>
      <c r="H381">
        <v>20000</v>
      </c>
      <c r="I381">
        <v>15000</v>
      </c>
      <c r="J381">
        <v>180000</v>
      </c>
      <c r="K381">
        <v>135000</v>
      </c>
      <c r="L381">
        <v>45000</v>
      </c>
    </row>
    <row r="382" spans="1:12" x14ac:dyDescent="0.3">
      <c r="A382" t="s">
        <v>643</v>
      </c>
      <c r="B382" t="s">
        <v>553</v>
      </c>
      <c r="C382" t="s">
        <v>14</v>
      </c>
      <c r="D382" t="s">
        <v>26</v>
      </c>
      <c r="E382" t="s">
        <v>62</v>
      </c>
      <c r="F382" t="s">
        <v>17</v>
      </c>
      <c r="G382">
        <v>3</v>
      </c>
      <c r="H382">
        <v>50000</v>
      </c>
      <c r="I382">
        <v>40000</v>
      </c>
      <c r="J382">
        <v>150000</v>
      </c>
      <c r="K382">
        <v>120000</v>
      </c>
      <c r="L382">
        <v>30000</v>
      </c>
    </row>
    <row r="383" spans="1:12" x14ac:dyDescent="0.3">
      <c r="A383" t="s">
        <v>644</v>
      </c>
      <c r="B383" t="s">
        <v>565</v>
      </c>
      <c r="C383" t="s">
        <v>42</v>
      </c>
      <c r="D383" t="s">
        <v>31</v>
      </c>
      <c r="E383" t="s">
        <v>16</v>
      </c>
      <c r="F383" t="s">
        <v>17</v>
      </c>
      <c r="G383">
        <v>3</v>
      </c>
      <c r="H383">
        <v>15000</v>
      </c>
      <c r="I383">
        <v>11000</v>
      </c>
      <c r="J383">
        <v>45000</v>
      </c>
      <c r="K383">
        <v>33000</v>
      </c>
      <c r="L383">
        <v>12000</v>
      </c>
    </row>
    <row r="384" spans="1:12" x14ac:dyDescent="0.3">
      <c r="A384" t="s">
        <v>645</v>
      </c>
      <c r="B384" t="s">
        <v>579</v>
      </c>
      <c r="C384" t="s">
        <v>51</v>
      </c>
      <c r="D384" t="s">
        <v>26</v>
      </c>
      <c r="E384" t="s">
        <v>27</v>
      </c>
      <c r="F384" t="s">
        <v>17</v>
      </c>
      <c r="G384">
        <v>8</v>
      </c>
      <c r="H384">
        <v>30000</v>
      </c>
      <c r="I384">
        <v>24000</v>
      </c>
      <c r="J384">
        <v>240000</v>
      </c>
      <c r="K384">
        <v>192000</v>
      </c>
      <c r="L384">
        <v>48000</v>
      </c>
    </row>
    <row r="385" spans="1:12" x14ac:dyDescent="0.3">
      <c r="A385" t="s">
        <v>646</v>
      </c>
      <c r="B385" t="s">
        <v>214</v>
      </c>
      <c r="C385" t="s">
        <v>71</v>
      </c>
      <c r="D385" t="s">
        <v>26</v>
      </c>
      <c r="E385" t="s">
        <v>21</v>
      </c>
      <c r="F385" t="s">
        <v>22</v>
      </c>
      <c r="G385">
        <v>5</v>
      </c>
      <c r="H385">
        <v>2000</v>
      </c>
      <c r="I385">
        <v>1200</v>
      </c>
      <c r="J385">
        <v>10000</v>
      </c>
      <c r="K385">
        <v>6000</v>
      </c>
      <c r="L385">
        <v>4000</v>
      </c>
    </row>
    <row r="386" spans="1:12" x14ac:dyDescent="0.3">
      <c r="A386" t="s">
        <v>647</v>
      </c>
      <c r="B386" t="s">
        <v>648</v>
      </c>
      <c r="C386" t="s">
        <v>30</v>
      </c>
      <c r="D386" t="s">
        <v>36</v>
      </c>
      <c r="E386" t="s">
        <v>16</v>
      </c>
      <c r="F386" t="s">
        <v>17</v>
      </c>
      <c r="G386">
        <v>9</v>
      </c>
      <c r="H386">
        <v>15000</v>
      </c>
      <c r="I386">
        <v>11000</v>
      </c>
      <c r="J386">
        <v>135000</v>
      </c>
      <c r="K386">
        <v>99000</v>
      </c>
      <c r="L386">
        <v>36000</v>
      </c>
    </row>
    <row r="387" spans="1:12" x14ac:dyDescent="0.3">
      <c r="A387" t="s">
        <v>649</v>
      </c>
      <c r="B387" t="s">
        <v>650</v>
      </c>
      <c r="C387" t="s">
        <v>20</v>
      </c>
      <c r="D387" t="s">
        <v>31</v>
      </c>
      <c r="E387" t="s">
        <v>62</v>
      </c>
      <c r="F387" t="s">
        <v>17</v>
      </c>
      <c r="G387">
        <v>4</v>
      </c>
      <c r="H387">
        <v>50000</v>
      </c>
      <c r="I387">
        <v>40000</v>
      </c>
      <c r="J387">
        <v>200000</v>
      </c>
      <c r="K387">
        <v>160000</v>
      </c>
      <c r="L387">
        <v>40000</v>
      </c>
    </row>
    <row r="388" spans="1:12" x14ac:dyDescent="0.3">
      <c r="A388" t="s">
        <v>651</v>
      </c>
      <c r="B388" t="s">
        <v>96</v>
      </c>
      <c r="C388" t="s">
        <v>71</v>
      </c>
      <c r="D388" t="s">
        <v>36</v>
      </c>
      <c r="E388" t="s">
        <v>46</v>
      </c>
      <c r="F388" t="s">
        <v>17</v>
      </c>
      <c r="G388">
        <v>2</v>
      </c>
      <c r="H388">
        <v>20000</v>
      </c>
      <c r="I388">
        <v>15000</v>
      </c>
      <c r="J388">
        <v>40000</v>
      </c>
      <c r="K388">
        <v>30000</v>
      </c>
      <c r="L388">
        <v>10000</v>
      </c>
    </row>
    <row r="389" spans="1:12" x14ac:dyDescent="0.3">
      <c r="A389" t="s">
        <v>652</v>
      </c>
      <c r="B389" t="s">
        <v>653</v>
      </c>
      <c r="C389" t="s">
        <v>30</v>
      </c>
      <c r="D389" t="s">
        <v>36</v>
      </c>
      <c r="E389" t="s">
        <v>21</v>
      </c>
      <c r="F389" t="s">
        <v>22</v>
      </c>
      <c r="G389">
        <v>2</v>
      </c>
      <c r="H389">
        <v>2000</v>
      </c>
      <c r="I389">
        <v>1200</v>
      </c>
      <c r="J389">
        <v>4000</v>
      </c>
      <c r="K389">
        <v>2400</v>
      </c>
      <c r="L389">
        <v>1600</v>
      </c>
    </row>
    <row r="390" spans="1:12" x14ac:dyDescent="0.3">
      <c r="A390" t="s">
        <v>654</v>
      </c>
      <c r="B390" t="s">
        <v>655</v>
      </c>
      <c r="C390" t="s">
        <v>90</v>
      </c>
      <c r="D390" t="s">
        <v>15</v>
      </c>
      <c r="E390" t="s">
        <v>21</v>
      </c>
      <c r="F390" t="s">
        <v>22</v>
      </c>
      <c r="G390">
        <v>1</v>
      </c>
      <c r="H390">
        <v>2000</v>
      </c>
      <c r="I390">
        <v>1200</v>
      </c>
      <c r="J390">
        <v>2000</v>
      </c>
      <c r="K390">
        <v>1200</v>
      </c>
      <c r="L390">
        <v>800</v>
      </c>
    </row>
    <row r="391" spans="1:12" x14ac:dyDescent="0.3">
      <c r="A391" t="s">
        <v>656</v>
      </c>
      <c r="B391" t="s">
        <v>365</v>
      </c>
      <c r="C391" t="s">
        <v>25</v>
      </c>
      <c r="D391" t="s">
        <v>15</v>
      </c>
      <c r="E391" t="s">
        <v>16</v>
      </c>
      <c r="F391" t="s">
        <v>17</v>
      </c>
      <c r="G391">
        <v>7</v>
      </c>
      <c r="H391">
        <v>15000</v>
      </c>
      <c r="I391">
        <v>11000</v>
      </c>
      <c r="J391">
        <v>105000</v>
      </c>
      <c r="K391">
        <v>77000</v>
      </c>
      <c r="L391">
        <v>28000</v>
      </c>
    </row>
    <row r="392" spans="1:12" x14ac:dyDescent="0.3">
      <c r="A392" t="s">
        <v>657</v>
      </c>
      <c r="B392" t="s">
        <v>658</v>
      </c>
      <c r="C392" t="s">
        <v>121</v>
      </c>
      <c r="D392" t="s">
        <v>31</v>
      </c>
      <c r="E392" t="s">
        <v>16</v>
      </c>
      <c r="F392" t="s">
        <v>17</v>
      </c>
      <c r="G392">
        <v>2</v>
      </c>
      <c r="H392">
        <v>15000</v>
      </c>
      <c r="I392">
        <v>11000</v>
      </c>
      <c r="J392">
        <v>30000</v>
      </c>
      <c r="K392">
        <v>22000</v>
      </c>
      <c r="L392">
        <v>8000</v>
      </c>
    </row>
    <row r="393" spans="1:12" x14ac:dyDescent="0.3">
      <c r="A393" t="s">
        <v>659</v>
      </c>
      <c r="B393" t="s">
        <v>660</v>
      </c>
      <c r="C393" t="s">
        <v>30</v>
      </c>
      <c r="D393" t="s">
        <v>36</v>
      </c>
      <c r="E393" t="s">
        <v>62</v>
      </c>
      <c r="F393" t="s">
        <v>17</v>
      </c>
      <c r="G393">
        <v>6</v>
      </c>
      <c r="H393">
        <v>50000</v>
      </c>
      <c r="I393">
        <v>40000</v>
      </c>
      <c r="J393">
        <v>300000</v>
      </c>
      <c r="K393">
        <v>240000</v>
      </c>
      <c r="L393">
        <v>60000</v>
      </c>
    </row>
    <row r="394" spans="1:12" x14ac:dyDescent="0.3">
      <c r="A394" t="s">
        <v>661</v>
      </c>
      <c r="B394" t="s">
        <v>662</v>
      </c>
      <c r="C394" t="s">
        <v>71</v>
      </c>
      <c r="D394" t="s">
        <v>36</v>
      </c>
      <c r="E394" t="s">
        <v>16</v>
      </c>
      <c r="F394" t="s">
        <v>17</v>
      </c>
      <c r="G394">
        <v>5</v>
      </c>
      <c r="H394">
        <v>15000</v>
      </c>
      <c r="I394">
        <v>11000</v>
      </c>
      <c r="J394">
        <v>75000</v>
      </c>
      <c r="K394">
        <v>55000</v>
      </c>
      <c r="L394">
        <v>20000</v>
      </c>
    </row>
    <row r="395" spans="1:12" x14ac:dyDescent="0.3">
      <c r="A395" t="s">
        <v>663</v>
      </c>
      <c r="B395" t="s">
        <v>314</v>
      </c>
      <c r="C395" t="s">
        <v>25</v>
      </c>
      <c r="D395" t="s">
        <v>15</v>
      </c>
      <c r="E395" t="s">
        <v>21</v>
      </c>
      <c r="F395" t="s">
        <v>22</v>
      </c>
      <c r="G395">
        <v>6</v>
      </c>
      <c r="H395">
        <v>2000</v>
      </c>
      <c r="I395">
        <v>1200</v>
      </c>
      <c r="J395">
        <v>12000</v>
      </c>
      <c r="K395">
        <v>7200</v>
      </c>
      <c r="L395">
        <v>4800</v>
      </c>
    </row>
    <row r="396" spans="1:12" x14ac:dyDescent="0.3">
      <c r="A396" t="s">
        <v>664</v>
      </c>
      <c r="B396" t="s">
        <v>665</v>
      </c>
      <c r="C396" t="s">
        <v>25</v>
      </c>
      <c r="D396" t="s">
        <v>15</v>
      </c>
      <c r="E396" t="s">
        <v>27</v>
      </c>
      <c r="F396" t="s">
        <v>17</v>
      </c>
      <c r="G396">
        <v>7</v>
      </c>
      <c r="H396">
        <v>30000</v>
      </c>
      <c r="I396">
        <v>24000</v>
      </c>
      <c r="J396">
        <v>210000</v>
      </c>
      <c r="K396">
        <v>168000</v>
      </c>
      <c r="L396">
        <v>42000</v>
      </c>
    </row>
    <row r="397" spans="1:12" x14ac:dyDescent="0.3">
      <c r="A397" t="s">
        <v>666</v>
      </c>
      <c r="B397" t="s">
        <v>667</v>
      </c>
      <c r="C397" t="s">
        <v>71</v>
      </c>
      <c r="D397" t="s">
        <v>36</v>
      </c>
      <c r="E397" t="s">
        <v>16</v>
      </c>
      <c r="F397" t="s">
        <v>17</v>
      </c>
      <c r="G397">
        <v>1</v>
      </c>
      <c r="H397">
        <v>15000</v>
      </c>
      <c r="I397">
        <v>11000</v>
      </c>
      <c r="J397">
        <v>15000</v>
      </c>
      <c r="K397">
        <v>11000</v>
      </c>
      <c r="L397">
        <v>4000</v>
      </c>
    </row>
    <row r="398" spans="1:12" x14ac:dyDescent="0.3">
      <c r="A398" t="s">
        <v>668</v>
      </c>
      <c r="B398" t="s">
        <v>669</v>
      </c>
      <c r="C398" t="s">
        <v>45</v>
      </c>
      <c r="D398" t="s">
        <v>15</v>
      </c>
      <c r="E398" t="s">
        <v>16</v>
      </c>
      <c r="F398" t="s">
        <v>17</v>
      </c>
      <c r="G398">
        <v>3</v>
      </c>
      <c r="H398">
        <v>15000</v>
      </c>
      <c r="I398">
        <v>11000</v>
      </c>
      <c r="J398">
        <v>45000</v>
      </c>
      <c r="K398">
        <v>33000</v>
      </c>
      <c r="L398">
        <v>12000</v>
      </c>
    </row>
    <row r="399" spans="1:12" x14ac:dyDescent="0.3">
      <c r="A399" t="s">
        <v>670</v>
      </c>
      <c r="B399" t="s">
        <v>472</v>
      </c>
      <c r="C399" t="s">
        <v>20</v>
      </c>
      <c r="D399" t="s">
        <v>36</v>
      </c>
      <c r="E399" t="s">
        <v>62</v>
      </c>
      <c r="F399" t="s">
        <v>17</v>
      </c>
      <c r="G399">
        <v>2</v>
      </c>
      <c r="H399">
        <v>50000</v>
      </c>
      <c r="I399">
        <v>40000</v>
      </c>
      <c r="J399">
        <v>100000</v>
      </c>
      <c r="K399">
        <v>80000</v>
      </c>
      <c r="L399">
        <v>20000</v>
      </c>
    </row>
    <row r="400" spans="1:12" x14ac:dyDescent="0.3">
      <c r="A400" t="s">
        <v>671</v>
      </c>
      <c r="B400" t="s">
        <v>102</v>
      </c>
      <c r="C400" t="s">
        <v>56</v>
      </c>
      <c r="D400" t="s">
        <v>31</v>
      </c>
      <c r="E400" t="s">
        <v>46</v>
      </c>
      <c r="F400" t="s">
        <v>17</v>
      </c>
      <c r="G400">
        <v>6</v>
      </c>
      <c r="H400">
        <v>20000</v>
      </c>
      <c r="I400">
        <v>15000</v>
      </c>
      <c r="J400">
        <v>120000</v>
      </c>
      <c r="K400">
        <v>90000</v>
      </c>
      <c r="L400">
        <v>30000</v>
      </c>
    </row>
    <row r="401" spans="1:12" x14ac:dyDescent="0.3">
      <c r="A401" t="s">
        <v>672</v>
      </c>
      <c r="B401" t="s">
        <v>188</v>
      </c>
      <c r="C401" t="s">
        <v>56</v>
      </c>
      <c r="D401" t="s">
        <v>36</v>
      </c>
      <c r="E401" t="s">
        <v>46</v>
      </c>
      <c r="F401" t="s">
        <v>17</v>
      </c>
      <c r="G401">
        <v>9</v>
      </c>
      <c r="H401">
        <v>20000</v>
      </c>
      <c r="I401">
        <v>15000</v>
      </c>
      <c r="J401">
        <v>180000</v>
      </c>
      <c r="K401">
        <v>135000</v>
      </c>
      <c r="L401">
        <v>45000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06B2D-D59E-41A5-A394-0B8B60078C4A}">
  <dimension ref="A1:M401"/>
  <sheetViews>
    <sheetView workbookViewId="0">
      <pane ySplit="1" topLeftCell="A2" activePane="bottomLeft" state="frozen"/>
      <selection pane="bottomLeft" activeCell="A2" sqref="A2"/>
    </sheetView>
  </sheetViews>
  <sheetFormatPr defaultRowHeight="14.4" x14ac:dyDescent="0.3"/>
  <cols>
    <col min="1" max="1" width="10.44140625" customWidth="1"/>
    <col min="2" max="2" width="10.33203125" bestFit="1" customWidth="1"/>
    <col min="5" max="5" width="11.109375" bestFit="1" customWidth="1"/>
    <col min="6" max="6" width="10.44140625" bestFit="1" customWidth="1"/>
    <col min="7" max="7" width="10.21875" customWidth="1"/>
    <col min="8" max="8" width="13.44140625" style="3" customWidth="1"/>
    <col min="9" max="9" width="11.6640625" style="3" customWidth="1"/>
    <col min="10" max="12" width="11.88671875" style="3" bestFit="1" customWidth="1"/>
    <col min="13" max="13" width="9.44140625" customWidth="1"/>
  </cols>
  <sheetData>
    <row r="1" spans="1:13" x14ac:dyDescent="0.3">
      <c r="A1" s="1" t="s">
        <v>0</v>
      </c>
      <c r="B1" s="1" t="s">
        <v>1</v>
      </c>
      <c r="C1" s="1" t="s">
        <v>2</v>
      </c>
      <c r="D1" s="1" t="s">
        <v>3</v>
      </c>
      <c r="E1" s="1" t="s">
        <v>4</v>
      </c>
      <c r="F1" s="1" t="s">
        <v>5</v>
      </c>
      <c r="G1" s="1" t="s">
        <v>6</v>
      </c>
      <c r="H1" s="2" t="s">
        <v>7</v>
      </c>
      <c r="I1" s="2" t="s">
        <v>8</v>
      </c>
      <c r="J1" s="2" t="s">
        <v>9</v>
      </c>
      <c r="K1" s="2" t="s">
        <v>10</v>
      </c>
      <c r="L1" s="2" t="s">
        <v>11</v>
      </c>
      <c r="M1" s="2" t="s">
        <v>673</v>
      </c>
    </row>
    <row r="2" spans="1:13" x14ac:dyDescent="0.3">
      <c r="A2" t="s">
        <v>366</v>
      </c>
      <c r="B2" t="s">
        <v>367</v>
      </c>
      <c r="C2" t="s">
        <v>56</v>
      </c>
      <c r="D2" t="s">
        <v>15</v>
      </c>
      <c r="E2" t="s">
        <v>62</v>
      </c>
      <c r="F2" t="s">
        <v>17</v>
      </c>
      <c r="G2">
        <v>4</v>
      </c>
      <c r="H2" s="3">
        <v>50000</v>
      </c>
      <c r="I2" s="3">
        <v>40000</v>
      </c>
      <c r="J2" s="3">
        <v>200000</v>
      </c>
      <c r="K2" s="3">
        <v>160000</v>
      </c>
      <c r="L2" s="3">
        <v>40000</v>
      </c>
      <c r="M2" s="5">
        <f>L2/J2</f>
        <v>0.2</v>
      </c>
    </row>
    <row r="3" spans="1:13" x14ac:dyDescent="0.3">
      <c r="A3" t="s">
        <v>544</v>
      </c>
      <c r="B3" t="s">
        <v>367</v>
      </c>
      <c r="C3" t="s">
        <v>56</v>
      </c>
      <c r="D3" t="s">
        <v>26</v>
      </c>
      <c r="E3" t="s">
        <v>21</v>
      </c>
      <c r="F3" t="s">
        <v>22</v>
      </c>
      <c r="G3">
        <v>1</v>
      </c>
      <c r="H3" s="3">
        <v>2000</v>
      </c>
      <c r="I3" s="3">
        <v>1200</v>
      </c>
      <c r="J3" s="3">
        <v>2000</v>
      </c>
      <c r="K3" s="3">
        <v>1200</v>
      </c>
      <c r="L3" s="3">
        <v>800</v>
      </c>
      <c r="M3" s="5">
        <f t="shared" ref="M3:M66" si="0">L3/J3</f>
        <v>0.4</v>
      </c>
    </row>
    <row r="4" spans="1:13" x14ac:dyDescent="0.3">
      <c r="A4" t="s">
        <v>514</v>
      </c>
      <c r="B4" t="s">
        <v>515</v>
      </c>
      <c r="C4" t="s">
        <v>56</v>
      </c>
      <c r="D4" t="s">
        <v>36</v>
      </c>
      <c r="E4" t="s">
        <v>21</v>
      </c>
      <c r="F4" t="s">
        <v>22</v>
      </c>
      <c r="G4">
        <v>6</v>
      </c>
      <c r="H4" s="3">
        <v>2000</v>
      </c>
      <c r="I4" s="3">
        <v>1200</v>
      </c>
      <c r="J4" s="3">
        <v>12000</v>
      </c>
      <c r="K4" s="3">
        <v>7200</v>
      </c>
      <c r="L4" s="3">
        <v>4800</v>
      </c>
      <c r="M4" s="5">
        <f t="shared" si="0"/>
        <v>0.4</v>
      </c>
    </row>
    <row r="5" spans="1:13" x14ac:dyDescent="0.3">
      <c r="A5" t="s">
        <v>331</v>
      </c>
      <c r="B5" t="s">
        <v>332</v>
      </c>
      <c r="C5" t="s">
        <v>56</v>
      </c>
      <c r="D5" t="s">
        <v>26</v>
      </c>
      <c r="E5" t="s">
        <v>27</v>
      </c>
      <c r="F5" t="s">
        <v>17</v>
      </c>
      <c r="G5">
        <v>9</v>
      </c>
      <c r="H5" s="3">
        <v>30000</v>
      </c>
      <c r="I5" s="3">
        <v>24000</v>
      </c>
      <c r="J5" s="3">
        <v>270000</v>
      </c>
      <c r="K5" s="3">
        <v>216000</v>
      </c>
      <c r="L5" s="3">
        <v>54000</v>
      </c>
      <c r="M5" s="5">
        <f t="shared" si="0"/>
        <v>0.2</v>
      </c>
    </row>
    <row r="6" spans="1:13" x14ac:dyDescent="0.3">
      <c r="A6" t="s">
        <v>421</v>
      </c>
      <c r="B6" t="s">
        <v>332</v>
      </c>
      <c r="C6" t="s">
        <v>56</v>
      </c>
      <c r="D6" t="s">
        <v>15</v>
      </c>
      <c r="E6" t="s">
        <v>16</v>
      </c>
      <c r="F6" t="s">
        <v>17</v>
      </c>
      <c r="G6">
        <v>3</v>
      </c>
      <c r="H6" s="3">
        <v>15000</v>
      </c>
      <c r="I6" s="3">
        <v>11000</v>
      </c>
      <c r="J6" s="3">
        <v>45000</v>
      </c>
      <c r="K6" s="3">
        <v>33000</v>
      </c>
      <c r="L6" s="3">
        <v>12000</v>
      </c>
      <c r="M6" s="5">
        <f t="shared" si="0"/>
        <v>0.26666666666666666</v>
      </c>
    </row>
    <row r="7" spans="1:13" x14ac:dyDescent="0.3">
      <c r="A7" t="s">
        <v>390</v>
      </c>
      <c r="B7" s="4">
        <v>45299</v>
      </c>
      <c r="C7" t="s">
        <v>56</v>
      </c>
      <c r="D7" t="s">
        <v>31</v>
      </c>
      <c r="E7" t="s">
        <v>46</v>
      </c>
      <c r="F7" t="s">
        <v>17</v>
      </c>
      <c r="G7">
        <v>3</v>
      </c>
      <c r="H7" s="3">
        <v>20000</v>
      </c>
      <c r="I7" s="3">
        <v>15000</v>
      </c>
      <c r="J7" s="3">
        <v>60000</v>
      </c>
      <c r="K7" s="3">
        <v>45000</v>
      </c>
      <c r="L7" s="3">
        <v>15000</v>
      </c>
      <c r="M7" s="5">
        <f t="shared" si="0"/>
        <v>0.25</v>
      </c>
    </row>
    <row r="8" spans="1:13" x14ac:dyDescent="0.3">
      <c r="A8" t="s">
        <v>488</v>
      </c>
      <c r="B8" t="s">
        <v>391</v>
      </c>
      <c r="C8" t="s">
        <v>56</v>
      </c>
      <c r="D8" t="s">
        <v>36</v>
      </c>
      <c r="E8" t="s">
        <v>27</v>
      </c>
      <c r="F8" t="s">
        <v>17</v>
      </c>
      <c r="G8">
        <v>1</v>
      </c>
      <c r="H8" s="3">
        <v>30000</v>
      </c>
      <c r="I8" s="3">
        <v>24000</v>
      </c>
      <c r="J8" s="3">
        <v>30000</v>
      </c>
      <c r="K8" s="3">
        <v>24000</v>
      </c>
      <c r="L8" s="3">
        <v>6000</v>
      </c>
      <c r="M8" s="5">
        <f t="shared" si="0"/>
        <v>0.2</v>
      </c>
    </row>
    <row r="9" spans="1:13" x14ac:dyDescent="0.3">
      <c r="A9" t="s">
        <v>590</v>
      </c>
      <c r="B9" t="s">
        <v>391</v>
      </c>
      <c r="C9" t="s">
        <v>56</v>
      </c>
      <c r="D9" t="s">
        <v>31</v>
      </c>
      <c r="E9" t="s">
        <v>27</v>
      </c>
      <c r="F9" t="s">
        <v>17</v>
      </c>
      <c r="G9">
        <v>9</v>
      </c>
      <c r="H9" s="3">
        <v>30000</v>
      </c>
      <c r="I9" s="3">
        <v>24000</v>
      </c>
      <c r="J9" s="3">
        <v>270000</v>
      </c>
      <c r="K9" s="3">
        <v>216000</v>
      </c>
      <c r="L9" s="3">
        <v>54000</v>
      </c>
      <c r="M9" s="5">
        <f t="shared" si="0"/>
        <v>0.2</v>
      </c>
    </row>
    <row r="10" spans="1:13" x14ac:dyDescent="0.3">
      <c r="A10" t="s">
        <v>58</v>
      </c>
      <c r="B10" t="s">
        <v>59</v>
      </c>
      <c r="C10" t="s">
        <v>56</v>
      </c>
      <c r="D10" t="s">
        <v>36</v>
      </c>
      <c r="E10" t="s">
        <v>16</v>
      </c>
      <c r="F10" t="s">
        <v>17</v>
      </c>
      <c r="G10">
        <v>5</v>
      </c>
      <c r="H10" s="3">
        <v>15000</v>
      </c>
      <c r="I10" s="3">
        <v>11000</v>
      </c>
      <c r="J10" s="3">
        <v>75000</v>
      </c>
      <c r="K10" s="3">
        <v>55000</v>
      </c>
      <c r="L10" s="3">
        <v>20000</v>
      </c>
      <c r="M10" s="5">
        <f t="shared" si="0"/>
        <v>0.26666666666666666</v>
      </c>
    </row>
    <row r="11" spans="1:13" x14ac:dyDescent="0.3">
      <c r="A11" t="s">
        <v>126</v>
      </c>
      <c r="B11" t="s">
        <v>59</v>
      </c>
      <c r="C11" t="s">
        <v>56</v>
      </c>
      <c r="D11" t="s">
        <v>15</v>
      </c>
      <c r="E11" t="s">
        <v>27</v>
      </c>
      <c r="F11" t="s">
        <v>17</v>
      </c>
      <c r="G11">
        <v>6</v>
      </c>
      <c r="H11" s="3">
        <v>30000</v>
      </c>
      <c r="I11" s="3">
        <v>24000</v>
      </c>
      <c r="J11" s="3">
        <v>180000</v>
      </c>
      <c r="K11" s="3">
        <v>144000</v>
      </c>
      <c r="L11" s="3">
        <v>36000</v>
      </c>
      <c r="M11" s="5">
        <f t="shared" si="0"/>
        <v>0.2</v>
      </c>
    </row>
    <row r="12" spans="1:13" x14ac:dyDescent="0.3">
      <c r="A12" t="s">
        <v>420</v>
      </c>
      <c r="B12" t="s">
        <v>59</v>
      </c>
      <c r="C12" t="s">
        <v>56</v>
      </c>
      <c r="D12" t="s">
        <v>26</v>
      </c>
      <c r="E12" t="s">
        <v>62</v>
      </c>
      <c r="F12" t="s">
        <v>17</v>
      </c>
      <c r="G12">
        <v>5</v>
      </c>
      <c r="H12" s="3">
        <v>50000</v>
      </c>
      <c r="I12" s="3">
        <v>40000</v>
      </c>
      <c r="J12" s="3">
        <v>250000</v>
      </c>
      <c r="K12" s="3">
        <v>200000</v>
      </c>
      <c r="L12" s="3">
        <v>50000</v>
      </c>
      <c r="M12" s="5">
        <f t="shared" si="0"/>
        <v>0.2</v>
      </c>
    </row>
    <row r="13" spans="1:13" x14ac:dyDescent="0.3">
      <c r="A13" t="s">
        <v>54</v>
      </c>
      <c r="B13" t="s">
        <v>55</v>
      </c>
      <c r="C13" t="s">
        <v>56</v>
      </c>
      <c r="D13" t="s">
        <v>26</v>
      </c>
      <c r="E13" t="s">
        <v>16</v>
      </c>
      <c r="F13" t="s">
        <v>17</v>
      </c>
      <c r="G13">
        <v>7</v>
      </c>
      <c r="H13" s="3">
        <v>15000</v>
      </c>
      <c r="I13" s="3">
        <v>11000</v>
      </c>
      <c r="J13" s="3">
        <v>105000</v>
      </c>
      <c r="K13" s="3">
        <v>77000</v>
      </c>
      <c r="L13" s="3">
        <v>28000</v>
      </c>
      <c r="M13" s="5">
        <f t="shared" si="0"/>
        <v>0.26666666666666666</v>
      </c>
    </row>
    <row r="14" spans="1:13" x14ac:dyDescent="0.3">
      <c r="A14" t="s">
        <v>499</v>
      </c>
      <c r="B14" t="s">
        <v>55</v>
      </c>
      <c r="C14" t="s">
        <v>56</v>
      </c>
      <c r="D14" t="s">
        <v>15</v>
      </c>
      <c r="E14" t="s">
        <v>27</v>
      </c>
      <c r="F14" t="s">
        <v>17</v>
      </c>
      <c r="G14">
        <v>8</v>
      </c>
      <c r="H14" s="3">
        <v>30000</v>
      </c>
      <c r="I14" s="3">
        <v>24000</v>
      </c>
      <c r="J14" s="3">
        <v>240000</v>
      </c>
      <c r="K14" s="3">
        <v>192000</v>
      </c>
      <c r="L14" s="3">
        <v>48000</v>
      </c>
      <c r="M14" s="5">
        <f t="shared" si="0"/>
        <v>0.2</v>
      </c>
    </row>
    <row r="15" spans="1:13" x14ac:dyDescent="0.3">
      <c r="A15" t="s">
        <v>577</v>
      </c>
      <c r="B15" t="s">
        <v>55</v>
      </c>
      <c r="C15" t="s">
        <v>56</v>
      </c>
      <c r="D15" t="s">
        <v>36</v>
      </c>
      <c r="E15" t="s">
        <v>21</v>
      </c>
      <c r="F15" t="s">
        <v>22</v>
      </c>
      <c r="G15">
        <v>10</v>
      </c>
      <c r="H15" s="3">
        <v>2000</v>
      </c>
      <c r="I15" s="3">
        <v>1200</v>
      </c>
      <c r="J15" s="3">
        <v>20000</v>
      </c>
      <c r="K15" s="3">
        <v>12000</v>
      </c>
      <c r="L15" s="3">
        <v>8000</v>
      </c>
      <c r="M15" s="5">
        <f t="shared" si="0"/>
        <v>0.4</v>
      </c>
    </row>
    <row r="16" spans="1:13" x14ac:dyDescent="0.3">
      <c r="A16" t="s">
        <v>190</v>
      </c>
      <c r="B16" t="s">
        <v>191</v>
      </c>
      <c r="C16" t="s">
        <v>56</v>
      </c>
      <c r="D16" t="s">
        <v>15</v>
      </c>
      <c r="E16" t="s">
        <v>21</v>
      </c>
      <c r="F16" t="s">
        <v>22</v>
      </c>
      <c r="G16">
        <v>5</v>
      </c>
      <c r="H16" s="3">
        <v>2000</v>
      </c>
      <c r="I16" s="3">
        <v>1200</v>
      </c>
      <c r="J16" s="3">
        <v>10000</v>
      </c>
      <c r="K16" s="3">
        <v>6000</v>
      </c>
      <c r="L16" s="3">
        <v>4000</v>
      </c>
      <c r="M16" s="5">
        <f t="shared" si="0"/>
        <v>0.4</v>
      </c>
    </row>
    <row r="17" spans="1:13" x14ac:dyDescent="0.3">
      <c r="A17" t="s">
        <v>576</v>
      </c>
      <c r="B17" t="s">
        <v>191</v>
      </c>
      <c r="C17" t="s">
        <v>56</v>
      </c>
      <c r="D17" t="s">
        <v>26</v>
      </c>
      <c r="E17" t="s">
        <v>62</v>
      </c>
      <c r="F17" t="s">
        <v>17</v>
      </c>
      <c r="G17">
        <v>2</v>
      </c>
      <c r="H17" s="3">
        <v>50000</v>
      </c>
      <c r="I17" s="3">
        <v>40000</v>
      </c>
      <c r="J17" s="3">
        <v>100000</v>
      </c>
      <c r="K17" s="3">
        <v>80000</v>
      </c>
      <c r="L17" s="3">
        <v>20000</v>
      </c>
      <c r="M17" s="5">
        <f t="shared" si="0"/>
        <v>0.2</v>
      </c>
    </row>
    <row r="18" spans="1:13" x14ac:dyDescent="0.3">
      <c r="A18" t="s">
        <v>336</v>
      </c>
      <c r="B18" t="s">
        <v>337</v>
      </c>
      <c r="C18" t="s">
        <v>56</v>
      </c>
      <c r="D18" t="s">
        <v>15</v>
      </c>
      <c r="E18" t="s">
        <v>21</v>
      </c>
      <c r="F18" t="s">
        <v>22</v>
      </c>
      <c r="G18">
        <v>9</v>
      </c>
      <c r="H18" s="3">
        <v>2000</v>
      </c>
      <c r="I18" s="3">
        <v>1200</v>
      </c>
      <c r="J18" s="3">
        <v>18000</v>
      </c>
      <c r="K18" s="3">
        <v>10800</v>
      </c>
      <c r="L18" s="3">
        <v>7200</v>
      </c>
      <c r="M18" s="5">
        <f t="shared" si="0"/>
        <v>0.4</v>
      </c>
    </row>
    <row r="19" spans="1:13" x14ac:dyDescent="0.3">
      <c r="A19" t="s">
        <v>508</v>
      </c>
      <c r="B19" t="s">
        <v>509</v>
      </c>
      <c r="C19" t="s">
        <v>56</v>
      </c>
      <c r="D19" t="s">
        <v>15</v>
      </c>
      <c r="E19" t="s">
        <v>27</v>
      </c>
      <c r="F19" t="s">
        <v>17</v>
      </c>
      <c r="G19">
        <v>5</v>
      </c>
      <c r="H19" s="3">
        <v>30000</v>
      </c>
      <c r="I19" s="3">
        <v>24000</v>
      </c>
      <c r="J19" s="3">
        <v>150000</v>
      </c>
      <c r="K19" s="3">
        <v>120000</v>
      </c>
      <c r="L19" s="3">
        <v>30000</v>
      </c>
      <c r="M19" s="5">
        <f t="shared" si="0"/>
        <v>0.2</v>
      </c>
    </row>
    <row r="20" spans="1:13" x14ac:dyDescent="0.3">
      <c r="A20" t="s">
        <v>204</v>
      </c>
      <c r="B20" t="s">
        <v>205</v>
      </c>
      <c r="C20" t="s">
        <v>56</v>
      </c>
      <c r="D20" t="s">
        <v>15</v>
      </c>
      <c r="E20" t="s">
        <v>27</v>
      </c>
      <c r="F20" t="s">
        <v>17</v>
      </c>
      <c r="G20">
        <v>3</v>
      </c>
      <c r="H20" s="3">
        <v>30000</v>
      </c>
      <c r="I20" s="3">
        <v>24000</v>
      </c>
      <c r="J20" s="3">
        <v>90000</v>
      </c>
      <c r="K20" s="3">
        <v>72000</v>
      </c>
      <c r="L20" s="3">
        <v>18000</v>
      </c>
      <c r="M20" s="5">
        <f t="shared" si="0"/>
        <v>0.2</v>
      </c>
    </row>
    <row r="21" spans="1:13" x14ac:dyDescent="0.3">
      <c r="A21" t="s">
        <v>244</v>
      </c>
      <c r="B21" t="s">
        <v>205</v>
      </c>
      <c r="C21" t="s">
        <v>56</v>
      </c>
      <c r="D21" t="s">
        <v>31</v>
      </c>
      <c r="E21" t="s">
        <v>16</v>
      </c>
      <c r="F21" t="s">
        <v>17</v>
      </c>
      <c r="G21">
        <v>8</v>
      </c>
      <c r="H21" s="3">
        <v>15000</v>
      </c>
      <c r="I21" s="3">
        <v>11000</v>
      </c>
      <c r="J21" s="3">
        <v>120000</v>
      </c>
      <c r="K21" s="3">
        <v>88000</v>
      </c>
      <c r="L21" s="3">
        <v>32000</v>
      </c>
      <c r="M21" s="5">
        <f t="shared" si="0"/>
        <v>0.26666666666666666</v>
      </c>
    </row>
    <row r="22" spans="1:13" x14ac:dyDescent="0.3">
      <c r="A22" t="s">
        <v>450</v>
      </c>
      <c r="B22" t="s">
        <v>205</v>
      </c>
      <c r="C22" t="s">
        <v>56</v>
      </c>
      <c r="D22" t="s">
        <v>31</v>
      </c>
      <c r="E22" t="s">
        <v>16</v>
      </c>
      <c r="F22" t="s">
        <v>17</v>
      </c>
      <c r="G22">
        <v>1</v>
      </c>
      <c r="H22" s="3">
        <v>15000</v>
      </c>
      <c r="I22" s="3">
        <v>11000</v>
      </c>
      <c r="J22" s="3">
        <v>15000</v>
      </c>
      <c r="K22" s="3">
        <v>11000</v>
      </c>
      <c r="L22" s="3">
        <v>4000</v>
      </c>
      <c r="M22" s="5">
        <f t="shared" si="0"/>
        <v>0.26666666666666666</v>
      </c>
    </row>
    <row r="23" spans="1:13" x14ac:dyDescent="0.3">
      <c r="A23" t="s">
        <v>115</v>
      </c>
      <c r="B23" t="s">
        <v>116</v>
      </c>
      <c r="C23" t="s">
        <v>56</v>
      </c>
      <c r="D23" t="s">
        <v>15</v>
      </c>
      <c r="E23" t="s">
        <v>16</v>
      </c>
      <c r="F23" t="s">
        <v>17</v>
      </c>
      <c r="G23">
        <v>2</v>
      </c>
      <c r="H23" s="3">
        <v>15000</v>
      </c>
      <c r="I23" s="3">
        <v>11000</v>
      </c>
      <c r="J23" s="3">
        <v>30000</v>
      </c>
      <c r="K23" s="3">
        <v>22000</v>
      </c>
      <c r="L23" s="3">
        <v>8000</v>
      </c>
      <c r="M23" s="5">
        <f t="shared" si="0"/>
        <v>0.26666666666666666</v>
      </c>
    </row>
    <row r="24" spans="1:13" x14ac:dyDescent="0.3">
      <c r="A24" t="s">
        <v>505</v>
      </c>
      <c r="B24" t="s">
        <v>116</v>
      </c>
      <c r="C24" t="s">
        <v>56</v>
      </c>
      <c r="D24" t="s">
        <v>36</v>
      </c>
      <c r="E24" t="s">
        <v>62</v>
      </c>
      <c r="F24" t="s">
        <v>17</v>
      </c>
      <c r="G24">
        <v>7</v>
      </c>
      <c r="H24" s="3">
        <v>50000</v>
      </c>
      <c r="I24" s="3">
        <v>40000</v>
      </c>
      <c r="J24" s="3">
        <v>350000</v>
      </c>
      <c r="K24" s="3">
        <v>280000</v>
      </c>
      <c r="L24" s="3">
        <v>70000</v>
      </c>
      <c r="M24" s="5">
        <f t="shared" si="0"/>
        <v>0.2</v>
      </c>
    </row>
    <row r="25" spans="1:13" x14ac:dyDescent="0.3">
      <c r="A25" t="s">
        <v>455</v>
      </c>
      <c r="B25" t="s">
        <v>456</v>
      </c>
      <c r="C25" t="s">
        <v>56</v>
      </c>
      <c r="D25" t="s">
        <v>15</v>
      </c>
      <c r="E25" t="s">
        <v>46</v>
      </c>
      <c r="F25" t="s">
        <v>17</v>
      </c>
      <c r="G25">
        <v>4</v>
      </c>
      <c r="H25" s="3">
        <v>20000</v>
      </c>
      <c r="I25" s="3">
        <v>15000</v>
      </c>
      <c r="J25" s="3">
        <v>80000</v>
      </c>
      <c r="K25" s="3">
        <v>60000</v>
      </c>
      <c r="L25" s="3">
        <v>20000</v>
      </c>
      <c r="M25" s="5">
        <f t="shared" si="0"/>
        <v>0.25</v>
      </c>
    </row>
    <row r="26" spans="1:13" x14ac:dyDescent="0.3">
      <c r="A26" t="s">
        <v>101</v>
      </c>
      <c r="B26" t="s">
        <v>102</v>
      </c>
      <c r="C26" t="s">
        <v>56</v>
      </c>
      <c r="D26" t="s">
        <v>36</v>
      </c>
      <c r="E26" t="s">
        <v>46</v>
      </c>
      <c r="F26" t="s">
        <v>17</v>
      </c>
      <c r="G26">
        <v>7</v>
      </c>
      <c r="H26" s="3">
        <v>20000</v>
      </c>
      <c r="I26" s="3">
        <v>15000</v>
      </c>
      <c r="J26" s="3">
        <v>140000</v>
      </c>
      <c r="K26" s="3">
        <v>105000</v>
      </c>
      <c r="L26" s="3">
        <v>35000</v>
      </c>
      <c r="M26" s="5">
        <f t="shared" si="0"/>
        <v>0.25</v>
      </c>
    </row>
    <row r="27" spans="1:13" x14ac:dyDescent="0.3">
      <c r="A27" t="s">
        <v>585</v>
      </c>
      <c r="B27" t="s">
        <v>102</v>
      </c>
      <c r="C27" t="s">
        <v>56</v>
      </c>
      <c r="D27" t="s">
        <v>26</v>
      </c>
      <c r="E27" t="s">
        <v>27</v>
      </c>
      <c r="F27" t="s">
        <v>17</v>
      </c>
      <c r="G27">
        <v>4</v>
      </c>
      <c r="H27" s="3">
        <v>30000</v>
      </c>
      <c r="I27" s="3">
        <v>24000</v>
      </c>
      <c r="J27" s="3">
        <v>120000</v>
      </c>
      <c r="K27" s="3">
        <v>96000</v>
      </c>
      <c r="L27" s="3">
        <v>24000</v>
      </c>
      <c r="M27" s="5">
        <f t="shared" si="0"/>
        <v>0.2</v>
      </c>
    </row>
    <row r="28" spans="1:13" x14ac:dyDescent="0.3">
      <c r="A28" t="s">
        <v>671</v>
      </c>
      <c r="B28" t="s">
        <v>102</v>
      </c>
      <c r="C28" t="s">
        <v>56</v>
      </c>
      <c r="D28" t="s">
        <v>31</v>
      </c>
      <c r="E28" t="s">
        <v>46</v>
      </c>
      <c r="F28" t="s">
        <v>17</v>
      </c>
      <c r="G28">
        <v>6</v>
      </c>
      <c r="H28" s="3">
        <v>20000</v>
      </c>
      <c r="I28" s="3">
        <v>15000</v>
      </c>
      <c r="J28" s="3">
        <v>120000</v>
      </c>
      <c r="K28" s="3">
        <v>90000</v>
      </c>
      <c r="L28" s="3">
        <v>30000</v>
      </c>
      <c r="M28" s="5">
        <f t="shared" si="0"/>
        <v>0.25</v>
      </c>
    </row>
    <row r="29" spans="1:13" x14ac:dyDescent="0.3">
      <c r="A29" t="s">
        <v>323</v>
      </c>
      <c r="B29" t="s">
        <v>324</v>
      </c>
      <c r="C29" t="s">
        <v>56</v>
      </c>
      <c r="D29" t="s">
        <v>26</v>
      </c>
      <c r="E29" t="s">
        <v>16</v>
      </c>
      <c r="F29" t="s">
        <v>17</v>
      </c>
      <c r="G29">
        <v>6</v>
      </c>
      <c r="H29" s="3">
        <v>15000</v>
      </c>
      <c r="I29" s="3">
        <v>11000</v>
      </c>
      <c r="J29" s="3">
        <v>90000</v>
      </c>
      <c r="K29" s="3">
        <v>66000</v>
      </c>
      <c r="L29" s="3">
        <v>24000</v>
      </c>
      <c r="M29" s="5">
        <f t="shared" si="0"/>
        <v>0.26666666666666666</v>
      </c>
    </row>
    <row r="30" spans="1:13" x14ac:dyDescent="0.3">
      <c r="A30" t="s">
        <v>60</v>
      </c>
      <c r="B30" t="s">
        <v>61</v>
      </c>
      <c r="C30" t="s">
        <v>56</v>
      </c>
      <c r="D30" t="s">
        <v>31</v>
      </c>
      <c r="E30" t="s">
        <v>62</v>
      </c>
      <c r="F30" t="s">
        <v>17</v>
      </c>
      <c r="G30">
        <v>3</v>
      </c>
      <c r="H30" s="3">
        <v>50000</v>
      </c>
      <c r="I30" s="3">
        <v>40000</v>
      </c>
      <c r="J30" s="3">
        <v>150000</v>
      </c>
      <c r="K30" s="3">
        <v>120000</v>
      </c>
      <c r="L30" s="3">
        <v>30000</v>
      </c>
      <c r="M30" s="5">
        <f t="shared" si="0"/>
        <v>0.2</v>
      </c>
    </row>
    <row r="31" spans="1:13" x14ac:dyDescent="0.3">
      <c r="A31" t="s">
        <v>424</v>
      </c>
      <c r="B31" t="s">
        <v>425</v>
      </c>
      <c r="C31" t="s">
        <v>56</v>
      </c>
      <c r="D31" t="s">
        <v>31</v>
      </c>
      <c r="E31" t="s">
        <v>46</v>
      </c>
      <c r="F31" t="s">
        <v>17</v>
      </c>
      <c r="G31">
        <v>2</v>
      </c>
      <c r="H31" s="3">
        <v>20000</v>
      </c>
      <c r="I31" s="3">
        <v>15000</v>
      </c>
      <c r="J31" s="3">
        <v>40000</v>
      </c>
      <c r="K31" s="3">
        <v>30000</v>
      </c>
      <c r="L31" s="3">
        <v>10000</v>
      </c>
      <c r="M31" s="5">
        <f t="shared" si="0"/>
        <v>0.25</v>
      </c>
    </row>
    <row r="32" spans="1:13" x14ac:dyDescent="0.3">
      <c r="A32" t="s">
        <v>325</v>
      </c>
      <c r="B32" t="s">
        <v>326</v>
      </c>
      <c r="C32" t="s">
        <v>56</v>
      </c>
      <c r="D32" t="s">
        <v>15</v>
      </c>
      <c r="E32" t="s">
        <v>16</v>
      </c>
      <c r="F32" t="s">
        <v>17</v>
      </c>
      <c r="G32">
        <v>8</v>
      </c>
      <c r="H32" s="3">
        <v>15000</v>
      </c>
      <c r="I32" s="3">
        <v>11000</v>
      </c>
      <c r="J32" s="3">
        <v>120000</v>
      </c>
      <c r="K32" s="3">
        <v>88000</v>
      </c>
      <c r="L32" s="3">
        <v>32000</v>
      </c>
      <c r="M32" s="5">
        <f t="shared" si="0"/>
        <v>0.26666666666666666</v>
      </c>
    </row>
    <row r="33" spans="1:13" x14ac:dyDescent="0.3">
      <c r="A33" t="s">
        <v>187</v>
      </c>
      <c r="B33" t="s">
        <v>188</v>
      </c>
      <c r="C33" t="s">
        <v>56</v>
      </c>
      <c r="D33" t="s">
        <v>15</v>
      </c>
      <c r="E33" t="s">
        <v>62</v>
      </c>
      <c r="F33" t="s">
        <v>17</v>
      </c>
      <c r="G33">
        <v>8</v>
      </c>
      <c r="H33" s="3">
        <v>50000</v>
      </c>
      <c r="I33" s="3">
        <v>40000</v>
      </c>
      <c r="J33" s="3">
        <v>400000</v>
      </c>
      <c r="K33" s="3">
        <v>320000</v>
      </c>
      <c r="L33" s="3">
        <v>80000</v>
      </c>
      <c r="M33" s="5">
        <f t="shared" si="0"/>
        <v>0.2</v>
      </c>
    </row>
    <row r="34" spans="1:13" x14ac:dyDescent="0.3">
      <c r="A34" t="s">
        <v>284</v>
      </c>
      <c r="B34" t="s">
        <v>188</v>
      </c>
      <c r="C34" t="s">
        <v>56</v>
      </c>
      <c r="D34" t="s">
        <v>31</v>
      </c>
      <c r="E34" t="s">
        <v>21</v>
      </c>
      <c r="F34" t="s">
        <v>22</v>
      </c>
      <c r="G34">
        <v>3</v>
      </c>
      <c r="H34" s="3">
        <v>2000</v>
      </c>
      <c r="I34" s="3">
        <v>1200</v>
      </c>
      <c r="J34" s="3">
        <v>6000</v>
      </c>
      <c r="K34" s="3">
        <v>3600</v>
      </c>
      <c r="L34" s="3">
        <v>2400</v>
      </c>
      <c r="M34" s="5">
        <f t="shared" si="0"/>
        <v>0.4</v>
      </c>
    </row>
    <row r="35" spans="1:13" x14ac:dyDescent="0.3">
      <c r="A35" t="s">
        <v>672</v>
      </c>
      <c r="B35" t="s">
        <v>188</v>
      </c>
      <c r="C35" t="s">
        <v>56</v>
      </c>
      <c r="D35" t="s">
        <v>36</v>
      </c>
      <c r="E35" t="s">
        <v>46</v>
      </c>
      <c r="F35" t="s">
        <v>17</v>
      </c>
      <c r="G35">
        <v>9</v>
      </c>
      <c r="H35" s="3">
        <v>20000</v>
      </c>
      <c r="I35" s="3">
        <v>15000</v>
      </c>
      <c r="J35" s="3">
        <v>180000</v>
      </c>
      <c r="K35" s="3">
        <v>135000</v>
      </c>
      <c r="L35" s="3">
        <v>45000</v>
      </c>
      <c r="M35" s="5">
        <f t="shared" si="0"/>
        <v>0.25</v>
      </c>
    </row>
    <row r="36" spans="1:13" x14ac:dyDescent="0.3">
      <c r="A36" t="s">
        <v>318</v>
      </c>
      <c r="B36" t="s">
        <v>319</v>
      </c>
      <c r="C36" t="s">
        <v>56</v>
      </c>
      <c r="D36" t="s">
        <v>26</v>
      </c>
      <c r="E36" t="s">
        <v>21</v>
      </c>
      <c r="F36" t="s">
        <v>22</v>
      </c>
      <c r="G36">
        <v>2</v>
      </c>
      <c r="H36" s="3">
        <v>2000</v>
      </c>
      <c r="I36" s="3">
        <v>1200</v>
      </c>
      <c r="J36" s="3">
        <v>4000</v>
      </c>
      <c r="K36" s="3">
        <v>2400</v>
      </c>
      <c r="L36" s="3">
        <v>1600</v>
      </c>
      <c r="M36" s="5">
        <f t="shared" si="0"/>
        <v>0.4</v>
      </c>
    </row>
    <row r="37" spans="1:13" x14ac:dyDescent="0.3">
      <c r="A37" t="s">
        <v>296</v>
      </c>
      <c r="B37" t="s">
        <v>297</v>
      </c>
      <c r="C37" t="s">
        <v>56</v>
      </c>
      <c r="D37" t="s">
        <v>31</v>
      </c>
      <c r="E37" t="s">
        <v>46</v>
      </c>
      <c r="F37" t="s">
        <v>17</v>
      </c>
      <c r="G37">
        <v>5</v>
      </c>
      <c r="H37" s="3">
        <v>20000</v>
      </c>
      <c r="I37" s="3">
        <v>15000</v>
      </c>
      <c r="J37" s="3">
        <v>100000</v>
      </c>
      <c r="K37" s="3">
        <v>75000</v>
      </c>
      <c r="L37" s="3">
        <v>25000</v>
      </c>
      <c r="M37" s="5">
        <f t="shared" si="0"/>
        <v>0.25</v>
      </c>
    </row>
    <row r="38" spans="1:13" x14ac:dyDescent="0.3">
      <c r="A38" t="s">
        <v>444</v>
      </c>
      <c r="B38" t="s">
        <v>445</v>
      </c>
      <c r="C38" t="s">
        <v>90</v>
      </c>
      <c r="D38" t="s">
        <v>36</v>
      </c>
      <c r="E38" t="s">
        <v>27</v>
      </c>
      <c r="F38" t="s">
        <v>17</v>
      </c>
      <c r="G38">
        <v>6</v>
      </c>
      <c r="H38" s="3">
        <v>30000</v>
      </c>
      <c r="I38" s="3">
        <v>24000</v>
      </c>
      <c r="J38" s="3">
        <v>180000</v>
      </c>
      <c r="K38" s="3">
        <v>144000</v>
      </c>
      <c r="L38" s="3">
        <v>36000</v>
      </c>
      <c r="M38" s="5">
        <f t="shared" si="0"/>
        <v>0.2</v>
      </c>
    </row>
    <row r="39" spans="1:13" x14ac:dyDescent="0.3">
      <c r="A39" t="s">
        <v>221</v>
      </c>
      <c r="B39" t="s">
        <v>222</v>
      </c>
      <c r="C39" t="s">
        <v>90</v>
      </c>
      <c r="D39" t="s">
        <v>31</v>
      </c>
      <c r="E39" t="s">
        <v>46</v>
      </c>
      <c r="F39" t="s">
        <v>17</v>
      </c>
      <c r="G39">
        <v>8</v>
      </c>
      <c r="H39" s="3">
        <v>20000</v>
      </c>
      <c r="I39" s="3">
        <v>15000</v>
      </c>
      <c r="J39" s="3">
        <v>160000</v>
      </c>
      <c r="K39" s="3">
        <v>120000</v>
      </c>
      <c r="L39" s="3">
        <v>40000</v>
      </c>
      <c r="M39" s="5">
        <f t="shared" si="0"/>
        <v>0.25</v>
      </c>
    </row>
    <row r="40" spans="1:13" x14ac:dyDescent="0.3">
      <c r="A40" t="s">
        <v>246</v>
      </c>
      <c r="B40" t="s">
        <v>222</v>
      </c>
      <c r="C40" t="s">
        <v>90</v>
      </c>
      <c r="D40" t="s">
        <v>31</v>
      </c>
      <c r="E40" t="s">
        <v>16</v>
      </c>
      <c r="F40" t="s">
        <v>17</v>
      </c>
      <c r="G40">
        <v>5</v>
      </c>
      <c r="H40" s="3">
        <v>15000</v>
      </c>
      <c r="I40" s="3">
        <v>11000</v>
      </c>
      <c r="J40" s="3">
        <v>75000</v>
      </c>
      <c r="K40" s="3">
        <v>55000</v>
      </c>
      <c r="L40" s="3">
        <v>20000</v>
      </c>
      <c r="M40" s="5">
        <f t="shared" si="0"/>
        <v>0.26666666666666666</v>
      </c>
    </row>
    <row r="41" spans="1:13" x14ac:dyDescent="0.3">
      <c r="A41" t="s">
        <v>277</v>
      </c>
      <c r="B41" t="s">
        <v>222</v>
      </c>
      <c r="C41" t="s">
        <v>90</v>
      </c>
      <c r="D41" t="s">
        <v>15</v>
      </c>
      <c r="E41" t="s">
        <v>21</v>
      </c>
      <c r="F41" t="s">
        <v>22</v>
      </c>
      <c r="G41">
        <v>3</v>
      </c>
      <c r="H41" s="3">
        <v>2000</v>
      </c>
      <c r="I41" s="3">
        <v>1200</v>
      </c>
      <c r="J41" s="3">
        <v>6000</v>
      </c>
      <c r="K41" s="3">
        <v>3600</v>
      </c>
      <c r="L41" s="3">
        <v>2400</v>
      </c>
      <c r="M41" s="5">
        <f t="shared" si="0"/>
        <v>0.4</v>
      </c>
    </row>
    <row r="42" spans="1:13" x14ac:dyDescent="0.3">
      <c r="A42" t="s">
        <v>360</v>
      </c>
      <c r="B42" t="s">
        <v>361</v>
      </c>
      <c r="C42" t="s">
        <v>90</v>
      </c>
      <c r="D42" t="s">
        <v>36</v>
      </c>
      <c r="E42" t="s">
        <v>46</v>
      </c>
      <c r="F42" t="s">
        <v>17</v>
      </c>
      <c r="G42">
        <v>9</v>
      </c>
      <c r="H42" s="3">
        <v>20000</v>
      </c>
      <c r="I42" s="3">
        <v>15000</v>
      </c>
      <c r="J42" s="3">
        <v>180000</v>
      </c>
      <c r="K42" s="3">
        <v>135000</v>
      </c>
      <c r="L42" s="3">
        <v>45000</v>
      </c>
      <c r="M42" s="5">
        <f t="shared" si="0"/>
        <v>0.25</v>
      </c>
    </row>
    <row r="43" spans="1:13" x14ac:dyDescent="0.3">
      <c r="A43" t="s">
        <v>88</v>
      </c>
      <c r="B43" t="s">
        <v>89</v>
      </c>
      <c r="C43" t="s">
        <v>90</v>
      </c>
      <c r="D43" t="s">
        <v>31</v>
      </c>
      <c r="E43" t="s">
        <v>46</v>
      </c>
      <c r="F43" t="s">
        <v>17</v>
      </c>
      <c r="G43">
        <v>7</v>
      </c>
      <c r="H43" s="3">
        <v>20000</v>
      </c>
      <c r="I43" s="3">
        <v>15000</v>
      </c>
      <c r="J43" s="3">
        <v>140000</v>
      </c>
      <c r="K43" s="3">
        <v>105000</v>
      </c>
      <c r="L43" s="3">
        <v>35000</v>
      </c>
      <c r="M43" s="5">
        <f t="shared" si="0"/>
        <v>0.25</v>
      </c>
    </row>
    <row r="44" spans="1:13" x14ac:dyDescent="0.3">
      <c r="A44" t="s">
        <v>99</v>
      </c>
      <c r="B44" t="s">
        <v>100</v>
      </c>
      <c r="C44" t="s">
        <v>90</v>
      </c>
      <c r="D44" t="s">
        <v>15</v>
      </c>
      <c r="E44" t="s">
        <v>62</v>
      </c>
      <c r="F44" t="s">
        <v>17</v>
      </c>
      <c r="G44">
        <v>8</v>
      </c>
      <c r="H44" s="3">
        <v>50000</v>
      </c>
      <c r="I44" s="3">
        <v>40000</v>
      </c>
      <c r="J44" s="3">
        <v>400000</v>
      </c>
      <c r="K44" s="3">
        <v>320000</v>
      </c>
      <c r="L44" s="3">
        <v>80000</v>
      </c>
      <c r="M44" s="5">
        <f t="shared" si="0"/>
        <v>0.2</v>
      </c>
    </row>
    <row r="45" spans="1:13" x14ac:dyDescent="0.3">
      <c r="A45" t="s">
        <v>310</v>
      </c>
      <c r="B45" t="s">
        <v>100</v>
      </c>
      <c r="C45" t="s">
        <v>90</v>
      </c>
      <c r="D45" t="s">
        <v>26</v>
      </c>
      <c r="E45" t="s">
        <v>27</v>
      </c>
      <c r="F45" t="s">
        <v>17</v>
      </c>
      <c r="G45">
        <v>6</v>
      </c>
      <c r="H45" s="3">
        <v>30000</v>
      </c>
      <c r="I45" s="3">
        <v>24000</v>
      </c>
      <c r="J45" s="3">
        <v>180000</v>
      </c>
      <c r="K45" s="3">
        <v>144000</v>
      </c>
      <c r="L45" s="3">
        <v>36000</v>
      </c>
      <c r="M45" s="5">
        <f t="shared" si="0"/>
        <v>0.2</v>
      </c>
    </row>
    <row r="46" spans="1:13" x14ac:dyDescent="0.3">
      <c r="A46" t="s">
        <v>566</v>
      </c>
      <c r="B46" t="s">
        <v>100</v>
      </c>
      <c r="C46" t="s">
        <v>90</v>
      </c>
      <c r="D46" t="s">
        <v>15</v>
      </c>
      <c r="E46" t="s">
        <v>46</v>
      </c>
      <c r="F46" t="s">
        <v>17</v>
      </c>
      <c r="G46">
        <v>4</v>
      </c>
      <c r="H46" s="3">
        <v>20000</v>
      </c>
      <c r="I46" s="3">
        <v>15000</v>
      </c>
      <c r="J46" s="3">
        <v>80000</v>
      </c>
      <c r="K46" s="3">
        <v>60000</v>
      </c>
      <c r="L46" s="3">
        <v>20000</v>
      </c>
      <c r="M46" s="5">
        <f t="shared" si="0"/>
        <v>0.25</v>
      </c>
    </row>
    <row r="47" spans="1:13" x14ac:dyDescent="0.3">
      <c r="A47" t="s">
        <v>104</v>
      </c>
      <c r="B47" t="s">
        <v>105</v>
      </c>
      <c r="C47" t="s">
        <v>90</v>
      </c>
      <c r="D47" t="s">
        <v>36</v>
      </c>
      <c r="E47" t="s">
        <v>46</v>
      </c>
      <c r="F47" t="s">
        <v>17</v>
      </c>
      <c r="G47">
        <v>8</v>
      </c>
      <c r="H47" s="3">
        <v>20000</v>
      </c>
      <c r="I47" s="3">
        <v>15000</v>
      </c>
      <c r="J47" s="3">
        <v>160000</v>
      </c>
      <c r="K47" s="3">
        <v>120000</v>
      </c>
      <c r="L47" s="3">
        <v>40000</v>
      </c>
      <c r="M47" s="5">
        <f t="shared" si="0"/>
        <v>0.25</v>
      </c>
    </row>
    <row r="48" spans="1:13" x14ac:dyDescent="0.3">
      <c r="A48" t="s">
        <v>642</v>
      </c>
      <c r="B48" t="s">
        <v>105</v>
      </c>
      <c r="C48" t="s">
        <v>90</v>
      </c>
      <c r="D48" t="s">
        <v>31</v>
      </c>
      <c r="E48" t="s">
        <v>46</v>
      </c>
      <c r="F48" t="s">
        <v>17</v>
      </c>
      <c r="G48">
        <v>9</v>
      </c>
      <c r="H48" s="3">
        <v>20000</v>
      </c>
      <c r="I48" s="3">
        <v>15000</v>
      </c>
      <c r="J48" s="3">
        <v>180000</v>
      </c>
      <c r="K48" s="3">
        <v>135000</v>
      </c>
      <c r="L48" s="3">
        <v>45000</v>
      </c>
      <c r="M48" s="5">
        <f t="shared" si="0"/>
        <v>0.25</v>
      </c>
    </row>
    <row r="49" spans="1:13" x14ac:dyDescent="0.3">
      <c r="A49" t="s">
        <v>180</v>
      </c>
      <c r="B49" t="s">
        <v>181</v>
      </c>
      <c r="C49" t="s">
        <v>90</v>
      </c>
      <c r="D49" t="s">
        <v>31</v>
      </c>
      <c r="E49" t="s">
        <v>62</v>
      </c>
      <c r="F49" t="s">
        <v>17</v>
      </c>
      <c r="G49">
        <v>6</v>
      </c>
      <c r="H49" s="3">
        <v>50000</v>
      </c>
      <c r="I49" s="3">
        <v>40000</v>
      </c>
      <c r="J49" s="3">
        <v>300000</v>
      </c>
      <c r="K49" s="3">
        <v>240000</v>
      </c>
      <c r="L49" s="3">
        <v>60000</v>
      </c>
      <c r="M49" s="5">
        <f t="shared" si="0"/>
        <v>0.2</v>
      </c>
    </row>
    <row r="50" spans="1:13" x14ac:dyDescent="0.3">
      <c r="A50" t="s">
        <v>249</v>
      </c>
      <c r="B50" t="s">
        <v>250</v>
      </c>
      <c r="C50" t="s">
        <v>90</v>
      </c>
      <c r="D50" t="s">
        <v>31</v>
      </c>
      <c r="E50" t="s">
        <v>46</v>
      </c>
      <c r="F50" t="s">
        <v>17</v>
      </c>
      <c r="G50">
        <v>2</v>
      </c>
      <c r="H50" s="3">
        <v>20000</v>
      </c>
      <c r="I50" s="3">
        <v>15000</v>
      </c>
      <c r="J50" s="3">
        <v>40000</v>
      </c>
      <c r="K50" s="3">
        <v>30000</v>
      </c>
      <c r="L50" s="3">
        <v>10000</v>
      </c>
      <c r="M50" s="5">
        <f t="shared" si="0"/>
        <v>0.25</v>
      </c>
    </row>
    <row r="51" spans="1:13" x14ac:dyDescent="0.3">
      <c r="A51" t="s">
        <v>193</v>
      </c>
      <c r="B51" t="s">
        <v>194</v>
      </c>
      <c r="C51" t="s">
        <v>90</v>
      </c>
      <c r="D51" t="s">
        <v>26</v>
      </c>
      <c r="E51" t="s">
        <v>16</v>
      </c>
      <c r="F51" t="s">
        <v>17</v>
      </c>
      <c r="G51">
        <v>7</v>
      </c>
      <c r="H51" s="3">
        <v>15000</v>
      </c>
      <c r="I51" s="3">
        <v>11000</v>
      </c>
      <c r="J51" s="3">
        <v>105000</v>
      </c>
      <c r="K51" s="3">
        <v>77000</v>
      </c>
      <c r="L51" s="3">
        <v>28000</v>
      </c>
      <c r="M51" s="5">
        <f t="shared" si="0"/>
        <v>0.26666666666666666</v>
      </c>
    </row>
    <row r="52" spans="1:13" x14ac:dyDescent="0.3">
      <c r="A52" t="s">
        <v>291</v>
      </c>
      <c r="B52" t="s">
        <v>292</v>
      </c>
      <c r="C52" t="s">
        <v>90</v>
      </c>
      <c r="D52" t="s">
        <v>36</v>
      </c>
      <c r="E52" t="s">
        <v>62</v>
      </c>
      <c r="F52" t="s">
        <v>17</v>
      </c>
      <c r="G52">
        <v>10</v>
      </c>
      <c r="H52" s="3">
        <v>50000</v>
      </c>
      <c r="I52" s="3">
        <v>40000</v>
      </c>
      <c r="J52" s="3">
        <v>500000</v>
      </c>
      <c r="K52" s="3">
        <v>400000</v>
      </c>
      <c r="L52" s="3">
        <v>100000</v>
      </c>
      <c r="M52" s="5">
        <f t="shared" si="0"/>
        <v>0.2</v>
      </c>
    </row>
    <row r="53" spans="1:13" x14ac:dyDescent="0.3">
      <c r="A53" t="s">
        <v>463</v>
      </c>
      <c r="B53" t="s">
        <v>292</v>
      </c>
      <c r="C53" t="s">
        <v>90</v>
      </c>
      <c r="D53" t="s">
        <v>15</v>
      </c>
      <c r="E53" t="s">
        <v>62</v>
      </c>
      <c r="F53" t="s">
        <v>17</v>
      </c>
      <c r="G53">
        <v>5</v>
      </c>
      <c r="H53" s="3">
        <v>50000</v>
      </c>
      <c r="I53" s="3">
        <v>40000</v>
      </c>
      <c r="J53" s="3">
        <v>250000</v>
      </c>
      <c r="K53" s="3">
        <v>200000</v>
      </c>
      <c r="L53" s="3">
        <v>50000</v>
      </c>
      <c r="M53" s="5">
        <f t="shared" si="0"/>
        <v>0.2</v>
      </c>
    </row>
    <row r="54" spans="1:13" x14ac:dyDescent="0.3">
      <c r="A54" t="s">
        <v>654</v>
      </c>
      <c r="B54" t="s">
        <v>655</v>
      </c>
      <c r="C54" t="s">
        <v>90</v>
      </c>
      <c r="D54" t="s">
        <v>15</v>
      </c>
      <c r="E54" t="s">
        <v>21</v>
      </c>
      <c r="F54" t="s">
        <v>22</v>
      </c>
      <c r="G54">
        <v>1</v>
      </c>
      <c r="H54" s="3">
        <v>2000</v>
      </c>
      <c r="I54" s="3">
        <v>1200</v>
      </c>
      <c r="J54" s="3">
        <v>2000</v>
      </c>
      <c r="K54" s="3">
        <v>1200</v>
      </c>
      <c r="L54" s="3">
        <v>800</v>
      </c>
      <c r="M54" s="5">
        <f t="shared" si="0"/>
        <v>0.4</v>
      </c>
    </row>
    <row r="55" spans="1:13" x14ac:dyDescent="0.3">
      <c r="A55" t="s">
        <v>239</v>
      </c>
      <c r="B55" t="s">
        <v>240</v>
      </c>
      <c r="C55" t="s">
        <v>90</v>
      </c>
      <c r="D55" t="s">
        <v>15</v>
      </c>
      <c r="E55" t="s">
        <v>21</v>
      </c>
      <c r="F55" t="s">
        <v>22</v>
      </c>
      <c r="G55">
        <v>9</v>
      </c>
      <c r="H55" s="3">
        <v>2000</v>
      </c>
      <c r="I55" s="3">
        <v>1200</v>
      </c>
      <c r="J55" s="3">
        <v>18000</v>
      </c>
      <c r="K55" s="3">
        <v>10800</v>
      </c>
      <c r="L55" s="3">
        <v>7200</v>
      </c>
      <c r="M55" s="5">
        <f t="shared" si="0"/>
        <v>0.4</v>
      </c>
    </row>
    <row r="56" spans="1:13" x14ac:dyDescent="0.3">
      <c r="A56" t="s">
        <v>209</v>
      </c>
      <c r="B56" t="s">
        <v>210</v>
      </c>
      <c r="C56" t="s">
        <v>90</v>
      </c>
      <c r="D56" t="s">
        <v>31</v>
      </c>
      <c r="E56" t="s">
        <v>62</v>
      </c>
      <c r="F56" t="s">
        <v>17</v>
      </c>
      <c r="G56">
        <v>2</v>
      </c>
      <c r="H56" s="3">
        <v>50000</v>
      </c>
      <c r="I56" s="3">
        <v>40000</v>
      </c>
      <c r="J56" s="3">
        <v>100000</v>
      </c>
      <c r="K56" s="3">
        <v>80000</v>
      </c>
      <c r="L56" s="3">
        <v>20000</v>
      </c>
      <c r="M56" s="5">
        <f t="shared" si="0"/>
        <v>0.2</v>
      </c>
    </row>
    <row r="57" spans="1:13" x14ac:dyDescent="0.3">
      <c r="A57" t="s">
        <v>267</v>
      </c>
      <c r="B57" t="s">
        <v>268</v>
      </c>
      <c r="C57" t="s">
        <v>90</v>
      </c>
      <c r="D57" t="s">
        <v>31</v>
      </c>
      <c r="E57" t="s">
        <v>27</v>
      </c>
      <c r="F57" t="s">
        <v>17</v>
      </c>
      <c r="G57">
        <v>5</v>
      </c>
      <c r="H57" s="3">
        <v>30000</v>
      </c>
      <c r="I57" s="3">
        <v>24000</v>
      </c>
      <c r="J57" s="3">
        <v>150000</v>
      </c>
      <c r="K57" s="3">
        <v>120000</v>
      </c>
      <c r="L57" s="3">
        <v>30000</v>
      </c>
      <c r="M57" s="5">
        <f t="shared" si="0"/>
        <v>0.2</v>
      </c>
    </row>
    <row r="58" spans="1:13" x14ac:dyDescent="0.3">
      <c r="A58" t="s">
        <v>474</v>
      </c>
      <c r="B58" t="s">
        <v>268</v>
      </c>
      <c r="C58" t="s">
        <v>90</v>
      </c>
      <c r="D58" t="s">
        <v>36</v>
      </c>
      <c r="E58" t="s">
        <v>46</v>
      </c>
      <c r="F58" t="s">
        <v>17</v>
      </c>
      <c r="G58">
        <v>7</v>
      </c>
      <c r="H58" s="3">
        <v>20000</v>
      </c>
      <c r="I58" s="3">
        <v>15000</v>
      </c>
      <c r="J58" s="3">
        <v>140000</v>
      </c>
      <c r="K58" s="3">
        <v>105000</v>
      </c>
      <c r="L58" s="3">
        <v>35000</v>
      </c>
      <c r="M58" s="5">
        <f t="shared" si="0"/>
        <v>0.25</v>
      </c>
    </row>
    <row r="59" spans="1:13" x14ac:dyDescent="0.3">
      <c r="A59" t="s">
        <v>623</v>
      </c>
      <c r="B59" t="s">
        <v>624</v>
      </c>
      <c r="C59" t="s">
        <v>90</v>
      </c>
      <c r="D59" t="s">
        <v>26</v>
      </c>
      <c r="E59" t="s">
        <v>21</v>
      </c>
      <c r="F59" t="s">
        <v>22</v>
      </c>
      <c r="G59">
        <v>6</v>
      </c>
      <c r="H59" s="3">
        <v>2000</v>
      </c>
      <c r="I59" s="3">
        <v>1200</v>
      </c>
      <c r="J59" s="3">
        <v>12000</v>
      </c>
      <c r="K59" s="3">
        <v>7200</v>
      </c>
      <c r="L59" s="3">
        <v>4800</v>
      </c>
      <c r="M59" s="5">
        <f t="shared" si="0"/>
        <v>0.4</v>
      </c>
    </row>
    <row r="60" spans="1:13" x14ac:dyDescent="0.3">
      <c r="A60" t="s">
        <v>176</v>
      </c>
      <c r="B60" t="s">
        <v>177</v>
      </c>
      <c r="C60" t="s">
        <v>39</v>
      </c>
      <c r="D60" t="s">
        <v>15</v>
      </c>
      <c r="E60" t="s">
        <v>21</v>
      </c>
      <c r="F60" t="s">
        <v>22</v>
      </c>
      <c r="G60">
        <v>9</v>
      </c>
      <c r="H60" s="3">
        <v>2000</v>
      </c>
      <c r="I60" s="3">
        <v>1200</v>
      </c>
      <c r="J60" s="3">
        <v>18000</v>
      </c>
      <c r="K60" s="3">
        <v>10800</v>
      </c>
      <c r="L60" s="3">
        <v>7200</v>
      </c>
      <c r="M60" s="5">
        <f t="shared" si="0"/>
        <v>0.4</v>
      </c>
    </row>
    <row r="61" spans="1:13" x14ac:dyDescent="0.3">
      <c r="A61" t="s">
        <v>382</v>
      </c>
      <c r="B61" t="s">
        <v>383</v>
      </c>
      <c r="C61" t="s">
        <v>39</v>
      </c>
      <c r="D61" t="s">
        <v>31</v>
      </c>
      <c r="E61" t="s">
        <v>16</v>
      </c>
      <c r="F61" t="s">
        <v>17</v>
      </c>
      <c r="G61">
        <v>10</v>
      </c>
      <c r="H61" s="3">
        <v>15000</v>
      </c>
      <c r="I61" s="3">
        <v>11000</v>
      </c>
      <c r="J61" s="3">
        <v>150000</v>
      </c>
      <c r="K61" s="3">
        <v>110000</v>
      </c>
      <c r="L61" s="3">
        <v>40000</v>
      </c>
      <c r="M61" s="5">
        <f t="shared" si="0"/>
        <v>0.26666666666666666</v>
      </c>
    </row>
    <row r="62" spans="1:13" x14ac:dyDescent="0.3">
      <c r="A62" t="s">
        <v>327</v>
      </c>
      <c r="B62" t="s">
        <v>328</v>
      </c>
      <c r="C62" t="s">
        <v>39</v>
      </c>
      <c r="D62" t="s">
        <v>31</v>
      </c>
      <c r="E62" t="s">
        <v>46</v>
      </c>
      <c r="F62" t="s">
        <v>17</v>
      </c>
      <c r="G62">
        <v>3</v>
      </c>
      <c r="H62" s="3">
        <v>20000</v>
      </c>
      <c r="I62" s="3">
        <v>15000</v>
      </c>
      <c r="J62" s="3">
        <v>60000</v>
      </c>
      <c r="K62" s="3">
        <v>45000</v>
      </c>
      <c r="L62" s="3">
        <v>15000</v>
      </c>
      <c r="M62" s="5">
        <f t="shared" si="0"/>
        <v>0.25</v>
      </c>
    </row>
    <row r="63" spans="1:13" x14ac:dyDescent="0.3">
      <c r="A63" t="s">
        <v>80</v>
      </c>
      <c r="B63" t="s">
        <v>81</v>
      </c>
      <c r="C63" t="s">
        <v>39</v>
      </c>
      <c r="D63" t="s">
        <v>31</v>
      </c>
      <c r="E63" t="s">
        <v>46</v>
      </c>
      <c r="F63" t="s">
        <v>17</v>
      </c>
      <c r="G63">
        <v>9</v>
      </c>
      <c r="H63" s="3">
        <v>20000</v>
      </c>
      <c r="I63" s="3">
        <v>15000</v>
      </c>
      <c r="J63" s="3">
        <v>180000</v>
      </c>
      <c r="K63" s="3">
        <v>135000</v>
      </c>
      <c r="L63" s="3">
        <v>45000</v>
      </c>
      <c r="M63" s="5">
        <f t="shared" si="0"/>
        <v>0.25</v>
      </c>
    </row>
    <row r="64" spans="1:13" x14ac:dyDescent="0.3">
      <c r="A64" t="s">
        <v>341</v>
      </c>
      <c r="B64" t="s">
        <v>81</v>
      </c>
      <c r="C64" t="s">
        <v>39</v>
      </c>
      <c r="D64" t="s">
        <v>26</v>
      </c>
      <c r="E64" t="s">
        <v>62</v>
      </c>
      <c r="F64" t="s">
        <v>17</v>
      </c>
      <c r="G64">
        <v>10</v>
      </c>
      <c r="H64" s="3">
        <v>50000</v>
      </c>
      <c r="I64" s="3">
        <v>40000</v>
      </c>
      <c r="J64" s="3">
        <v>500000</v>
      </c>
      <c r="K64" s="3">
        <v>400000</v>
      </c>
      <c r="L64" s="3">
        <v>100000</v>
      </c>
      <c r="M64" s="5">
        <f t="shared" si="0"/>
        <v>0.2</v>
      </c>
    </row>
    <row r="65" spans="1:13" x14ac:dyDescent="0.3">
      <c r="A65" t="s">
        <v>368</v>
      </c>
      <c r="B65" t="s">
        <v>369</v>
      </c>
      <c r="C65" t="s">
        <v>39</v>
      </c>
      <c r="D65" t="s">
        <v>31</v>
      </c>
      <c r="E65" t="s">
        <v>16</v>
      </c>
      <c r="F65" t="s">
        <v>17</v>
      </c>
      <c r="G65">
        <v>9</v>
      </c>
      <c r="H65" s="3">
        <v>15000</v>
      </c>
      <c r="I65" s="3">
        <v>11000</v>
      </c>
      <c r="J65" s="3">
        <v>135000</v>
      </c>
      <c r="K65" s="3">
        <v>99000</v>
      </c>
      <c r="L65" s="3">
        <v>36000</v>
      </c>
      <c r="M65" s="5">
        <f t="shared" si="0"/>
        <v>0.26666666666666666</v>
      </c>
    </row>
    <row r="66" spans="1:13" x14ac:dyDescent="0.3">
      <c r="A66" t="s">
        <v>141</v>
      </c>
      <c r="B66" t="s">
        <v>142</v>
      </c>
      <c r="C66" t="s">
        <v>39</v>
      </c>
      <c r="D66" t="s">
        <v>26</v>
      </c>
      <c r="E66" t="s">
        <v>16</v>
      </c>
      <c r="F66" t="s">
        <v>17</v>
      </c>
      <c r="G66">
        <v>9</v>
      </c>
      <c r="H66" s="3">
        <v>15000</v>
      </c>
      <c r="I66" s="3">
        <v>11000</v>
      </c>
      <c r="J66" s="3">
        <v>135000</v>
      </c>
      <c r="K66" s="3">
        <v>99000</v>
      </c>
      <c r="L66" s="3">
        <v>36000</v>
      </c>
      <c r="M66" s="5">
        <f t="shared" si="0"/>
        <v>0.26666666666666666</v>
      </c>
    </row>
    <row r="67" spans="1:13" x14ac:dyDescent="0.3">
      <c r="A67" t="s">
        <v>535</v>
      </c>
      <c r="B67" t="s">
        <v>536</v>
      </c>
      <c r="C67" t="s">
        <v>39</v>
      </c>
      <c r="D67" t="s">
        <v>31</v>
      </c>
      <c r="E67" t="s">
        <v>46</v>
      </c>
      <c r="F67" t="s">
        <v>17</v>
      </c>
      <c r="G67">
        <v>5</v>
      </c>
      <c r="H67" s="3">
        <v>20000</v>
      </c>
      <c r="I67" s="3">
        <v>15000</v>
      </c>
      <c r="J67" s="3">
        <v>100000</v>
      </c>
      <c r="K67" s="3">
        <v>75000</v>
      </c>
      <c r="L67" s="3">
        <v>25000</v>
      </c>
      <c r="M67" s="5">
        <f t="shared" ref="M67:M130" si="1">L67/J67</f>
        <v>0.25</v>
      </c>
    </row>
    <row r="68" spans="1:13" x14ac:dyDescent="0.3">
      <c r="A68" t="s">
        <v>200</v>
      </c>
      <c r="B68" t="s">
        <v>201</v>
      </c>
      <c r="C68" t="s">
        <v>39</v>
      </c>
      <c r="D68" t="s">
        <v>26</v>
      </c>
      <c r="E68" t="s">
        <v>21</v>
      </c>
      <c r="F68" t="s">
        <v>22</v>
      </c>
      <c r="G68">
        <v>2</v>
      </c>
      <c r="H68" s="3">
        <v>2000</v>
      </c>
      <c r="I68" s="3">
        <v>1200</v>
      </c>
      <c r="J68" s="3">
        <v>4000</v>
      </c>
      <c r="K68" s="3">
        <v>2400</v>
      </c>
      <c r="L68" s="3">
        <v>1600</v>
      </c>
      <c r="M68" s="5">
        <f t="shared" si="1"/>
        <v>0.4</v>
      </c>
    </row>
    <row r="69" spans="1:13" x14ac:dyDescent="0.3">
      <c r="A69" t="s">
        <v>293</v>
      </c>
      <c r="B69" t="s">
        <v>201</v>
      </c>
      <c r="C69" t="s">
        <v>39</v>
      </c>
      <c r="D69" t="s">
        <v>31</v>
      </c>
      <c r="E69" t="s">
        <v>46</v>
      </c>
      <c r="F69" t="s">
        <v>17</v>
      </c>
      <c r="G69">
        <v>2</v>
      </c>
      <c r="H69" s="3">
        <v>20000</v>
      </c>
      <c r="I69" s="3">
        <v>15000</v>
      </c>
      <c r="J69" s="3">
        <v>40000</v>
      </c>
      <c r="K69" s="3">
        <v>30000</v>
      </c>
      <c r="L69" s="3">
        <v>10000</v>
      </c>
      <c r="M69" s="5">
        <f t="shared" si="1"/>
        <v>0.25</v>
      </c>
    </row>
    <row r="70" spans="1:13" x14ac:dyDescent="0.3">
      <c r="A70" t="s">
        <v>530</v>
      </c>
      <c r="B70" t="s">
        <v>201</v>
      </c>
      <c r="C70" t="s">
        <v>39</v>
      </c>
      <c r="D70" t="s">
        <v>31</v>
      </c>
      <c r="E70" t="s">
        <v>46</v>
      </c>
      <c r="F70" t="s">
        <v>17</v>
      </c>
      <c r="G70">
        <v>1</v>
      </c>
      <c r="H70" s="3">
        <v>20000</v>
      </c>
      <c r="I70" s="3">
        <v>15000</v>
      </c>
      <c r="J70" s="3">
        <v>20000</v>
      </c>
      <c r="K70" s="3">
        <v>15000</v>
      </c>
      <c r="L70" s="3">
        <v>5000</v>
      </c>
      <c r="M70" s="5">
        <f t="shared" si="1"/>
        <v>0.25</v>
      </c>
    </row>
    <row r="71" spans="1:13" x14ac:dyDescent="0.3">
      <c r="A71" t="s">
        <v>97</v>
      </c>
      <c r="B71" t="s">
        <v>98</v>
      </c>
      <c r="C71" t="s">
        <v>39</v>
      </c>
      <c r="D71" t="s">
        <v>15</v>
      </c>
      <c r="E71" t="s">
        <v>62</v>
      </c>
      <c r="F71" t="s">
        <v>17</v>
      </c>
      <c r="G71">
        <v>10</v>
      </c>
      <c r="H71" s="3">
        <v>50000</v>
      </c>
      <c r="I71" s="3">
        <v>40000</v>
      </c>
      <c r="J71" s="3">
        <v>500000</v>
      </c>
      <c r="K71" s="3">
        <v>400000</v>
      </c>
      <c r="L71" s="3">
        <v>100000</v>
      </c>
      <c r="M71" s="5">
        <f t="shared" si="1"/>
        <v>0.2</v>
      </c>
    </row>
    <row r="72" spans="1:13" x14ac:dyDescent="0.3">
      <c r="A72" t="s">
        <v>283</v>
      </c>
      <c r="B72" t="s">
        <v>98</v>
      </c>
      <c r="C72" t="s">
        <v>39</v>
      </c>
      <c r="D72" t="s">
        <v>36</v>
      </c>
      <c r="E72" t="s">
        <v>27</v>
      </c>
      <c r="F72" t="s">
        <v>17</v>
      </c>
      <c r="G72">
        <v>9</v>
      </c>
      <c r="H72" s="3">
        <v>30000</v>
      </c>
      <c r="I72" s="3">
        <v>24000</v>
      </c>
      <c r="J72" s="3">
        <v>270000</v>
      </c>
      <c r="K72" s="3">
        <v>216000</v>
      </c>
      <c r="L72" s="3">
        <v>54000</v>
      </c>
      <c r="M72" s="5">
        <f t="shared" si="1"/>
        <v>0.2</v>
      </c>
    </row>
    <row r="73" spans="1:13" x14ac:dyDescent="0.3">
      <c r="A73" t="s">
        <v>613</v>
      </c>
      <c r="B73" t="s">
        <v>614</v>
      </c>
      <c r="C73" t="s">
        <v>39</v>
      </c>
      <c r="D73" t="s">
        <v>26</v>
      </c>
      <c r="E73" t="s">
        <v>46</v>
      </c>
      <c r="F73" t="s">
        <v>17</v>
      </c>
      <c r="G73">
        <v>1</v>
      </c>
      <c r="H73" s="3">
        <v>20000</v>
      </c>
      <c r="I73" s="3">
        <v>15000</v>
      </c>
      <c r="J73" s="3">
        <v>20000</v>
      </c>
      <c r="K73" s="3">
        <v>15000</v>
      </c>
      <c r="L73" s="3">
        <v>5000</v>
      </c>
      <c r="M73" s="5">
        <f t="shared" si="1"/>
        <v>0.25</v>
      </c>
    </row>
    <row r="74" spans="1:13" x14ac:dyDescent="0.3">
      <c r="A74" t="s">
        <v>113</v>
      </c>
      <c r="B74" t="s">
        <v>114</v>
      </c>
      <c r="C74" t="s">
        <v>39</v>
      </c>
      <c r="D74" t="s">
        <v>15</v>
      </c>
      <c r="E74" t="s">
        <v>46</v>
      </c>
      <c r="F74" t="s">
        <v>17</v>
      </c>
      <c r="G74">
        <v>9</v>
      </c>
      <c r="H74" s="3">
        <v>20000</v>
      </c>
      <c r="I74" s="3">
        <v>15000</v>
      </c>
      <c r="J74" s="3">
        <v>180000</v>
      </c>
      <c r="K74" s="3">
        <v>135000</v>
      </c>
      <c r="L74" s="3">
        <v>45000</v>
      </c>
      <c r="M74" s="5">
        <f t="shared" si="1"/>
        <v>0.25</v>
      </c>
    </row>
    <row r="75" spans="1:13" x14ac:dyDescent="0.3">
      <c r="A75" t="s">
        <v>500</v>
      </c>
      <c r="B75" t="s">
        <v>501</v>
      </c>
      <c r="C75" t="s">
        <v>39</v>
      </c>
      <c r="D75" t="s">
        <v>26</v>
      </c>
      <c r="E75" t="s">
        <v>21</v>
      </c>
      <c r="F75" t="s">
        <v>22</v>
      </c>
      <c r="G75">
        <v>3</v>
      </c>
      <c r="H75" s="3">
        <v>2000</v>
      </c>
      <c r="I75" s="3">
        <v>1200</v>
      </c>
      <c r="J75" s="3">
        <v>6000</v>
      </c>
      <c r="K75" s="3">
        <v>3600</v>
      </c>
      <c r="L75" s="3">
        <v>2400</v>
      </c>
      <c r="M75" s="5">
        <f t="shared" si="1"/>
        <v>0.4</v>
      </c>
    </row>
    <row r="76" spans="1:13" x14ac:dyDescent="0.3">
      <c r="A76" t="s">
        <v>305</v>
      </c>
      <c r="B76" t="s">
        <v>306</v>
      </c>
      <c r="C76" t="s">
        <v>39</v>
      </c>
      <c r="D76" t="s">
        <v>15</v>
      </c>
      <c r="E76" t="s">
        <v>27</v>
      </c>
      <c r="F76" t="s">
        <v>17</v>
      </c>
      <c r="G76">
        <v>9</v>
      </c>
      <c r="H76" s="3">
        <v>30000</v>
      </c>
      <c r="I76" s="3">
        <v>24000</v>
      </c>
      <c r="J76" s="3">
        <v>270000</v>
      </c>
      <c r="K76" s="3">
        <v>216000</v>
      </c>
      <c r="L76" s="3">
        <v>54000</v>
      </c>
      <c r="M76" s="5">
        <f t="shared" si="1"/>
        <v>0.2</v>
      </c>
    </row>
    <row r="77" spans="1:13" x14ac:dyDescent="0.3">
      <c r="A77" t="s">
        <v>219</v>
      </c>
      <c r="B77" t="s">
        <v>220</v>
      </c>
      <c r="C77" t="s">
        <v>39</v>
      </c>
      <c r="D77" t="s">
        <v>15</v>
      </c>
      <c r="E77" t="s">
        <v>46</v>
      </c>
      <c r="F77" t="s">
        <v>17</v>
      </c>
      <c r="G77">
        <v>6</v>
      </c>
      <c r="H77" s="3">
        <v>20000</v>
      </c>
      <c r="I77" s="3">
        <v>15000</v>
      </c>
      <c r="J77" s="3">
        <v>120000</v>
      </c>
      <c r="K77" s="3">
        <v>90000</v>
      </c>
      <c r="L77" s="3">
        <v>30000</v>
      </c>
      <c r="M77" s="5">
        <f t="shared" si="1"/>
        <v>0.25</v>
      </c>
    </row>
    <row r="78" spans="1:13" x14ac:dyDescent="0.3">
      <c r="A78" t="s">
        <v>376</v>
      </c>
      <c r="B78" t="s">
        <v>220</v>
      </c>
      <c r="C78" t="s">
        <v>39</v>
      </c>
      <c r="D78" t="s">
        <v>15</v>
      </c>
      <c r="E78" t="s">
        <v>27</v>
      </c>
      <c r="F78" t="s">
        <v>17</v>
      </c>
      <c r="G78">
        <v>2</v>
      </c>
      <c r="H78" s="3">
        <v>30000</v>
      </c>
      <c r="I78" s="3">
        <v>24000</v>
      </c>
      <c r="J78" s="3">
        <v>60000</v>
      </c>
      <c r="K78" s="3">
        <v>48000</v>
      </c>
      <c r="L78" s="3">
        <v>12000</v>
      </c>
      <c r="M78" s="5">
        <f t="shared" si="1"/>
        <v>0.2</v>
      </c>
    </row>
    <row r="79" spans="1:13" x14ac:dyDescent="0.3">
      <c r="A79" t="s">
        <v>417</v>
      </c>
      <c r="B79" t="s">
        <v>220</v>
      </c>
      <c r="C79" t="s">
        <v>39</v>
      </c>
      <c r="D79" t="s">
        <v>15</v>
      </c>
      <c r="E79" t="s">
        <v>62</v>
      </c>
      <c r="F79" t="s">
        <v>17</v>
      </c>
      <c r="G79">
        <v>5</v>
      </c>
      <c r="H79" s="3">
        <v>50000</v>
      </c>
      <c r="I79" s="3">
        <v>40000</v>
      </c>
      <c r="J79" s="3">
        <v>250000</v>
      </c>
      <c r="K79" s="3">
        <v>200000</v>
      </c>
      <c r="L79" s="3">
        <v>50000</v>
      </c>
      <c r="M79" s="5">
        <f t="shared" si="1"/>
        <v>0.2</v>
      </c>
    </row>
    <row r="80" spans="1:13" x14ac:dyDescent="0.3">
      <c r="A80" t="s">
        <v>516</v>
      </c>
      <c r="B80" t="s">
        <v>517</v>
      </c>
      <c r="C80" t="s">
        <v>39</v>
      </c>
      <c r="D80" t="s">
        <v>15</v>
      </c>
      <c r="E80" t="s">
        <v>46</v>
      </c>
      <c r="F80" t="s">
        <v>17</v>
      </c>
      <c r="G80">
        <v>7</v>
      </c>
      <c r="H80" s="3">
        <v>20000</v>
      </c>
      <c r="I80" s="3">
        <v>15000</v>
      </c>
      <c r="J80" s="3">
        <v>140000</v>
      </c>
      <c r="K80" s="3">
        <v>105000</v>
      </c>
      <c r="L80" s="3">
        <v>35000</v>
      </c>
      <c r="M80" s="5">
        <f t="shared" si="1"/>
        <v>0.25</v>
      </c>
    </row>
    <row r="81" spans="1:13" x14ac:dyDescent="0.3">
      <c r="A81" t="s">
        <v>63</v>
      </c>
      <c r="B81" t="s">
        <v>64</v>
      </c>
      <c r="C81" t="s">
        <v>39</v>
      </c>
      <c r="D81" t="s">
        <v>31</v>
      </c>
      <c r="E81" t="s">
        <v>21</v>
      </c>
      <c r="F81" t="s">
        <v>22</v>
      </c>
      <c r="G81">
        <v>8</v>
      </c>
      <c r="H81" s="3">
        <v>2000</v>
      </c>
      <c r="I81" s="3">
        <v>1200</v>
      </c>
      <c r="J81" s="3">
        <v>16000</v>
      </c>
      <c r="K81" s="3">
        <v>9600</v>
      </c>
      <c r="L81" s="3">
        <v>6400</v>
      </c>
      <c r="M81" s="5">
        <f t="shared" si="1"/>
        <v>0.4</v>
      </c>
    </row>
    <row r="82" spans="1:13" x14ac:dyDescent="0.3">
      <c r="A82" t="s">
        <v>430</v>
      </c>
      <c r="B82" t="s">
        <v>64</v>
      </c>
      <c r="C82" t="s">
        <v>39</v>
      </c>
      <c r="D82" t="s">
        <v>31</v>
      </c>
      <c r="E82" t="s">
        <v>62</v>
      </c>
      <c r="F82" t="s">
        <v>17</v>
      </c>
      <c r="G82">
        <v>5</v>
      </c>
      <c r="H82" s="3">
        <v>50000</v>
      </c>
      <c r="I82" s="3">
        <v>40000</v>
      </c>
      <c r="J82" s="3">
        <v>250000</v>
      </c>
      <c r="K82" s="3">
        <v>200000</v>
      </c>
      <c r="L82" s="3">
        <v>50000</v>
      </c>
      <c r="M82" s="5">
        <f t="shared" si="1"/>
        <v>0.2</v>
      </c>
    </row>
    <row r="83" spans="1:13" x14ac:dyDescent="0.3">
      <c r="A83" t="s">
        <v>586</v>
      </c>
      <c r="B83" t="s">
        <v>587</v>
      </c>
      <c r="C83" t="s">
        <v>39</v>
      </c>
      <c r="D83" t="s">
        <v>31</v>
      </c>
      <c r="E83" t="s">
        <v>21</v>
      </c>
      <c r="F83" t="s">
        <v>22</v>
      </c>
      <c r="G83">
        <v>7</v>
      </c>
      <c r="H83" s="3">
        <v>2000</v>
      </c>
      <c r="I83" s="3">
        <v>1200</v>
      </c>
      <c r="J83" s="3">
        <v>14000</v>
      </c>
      <c r="K83" s="3">
        <v>8400</v>
      </c>
      <c r="L83" s="3">
        <v>5600</v>
      </c>
      <c r="M83" s="5">
        <f t="shared" si="1"/>
        <v>0.4</v>
      </c>
    </row>
    <row r="84" spans="1:13" x14ac:dyDescent="0.3">
      <c r="A84" t="s">
        <v>198</v>
      </c>
      <c r="B84" t="s">
        <v>199</v>
      </c>
      <c r="C84" t="s">
        <v>39</v>
      </c>
      <c r="D84" t="s">
        <v>15</v>
      </c>
      <c r="E84" t="s">
        <v>62</v>
      </c>
      <c r="F84" t="s">
        <v>17</v>
      </c>
      <c r="G84">
        <v>10</v>
      </c>
      <c r="H84" s="3">
        <v>50000</v>
      </c>
      <c r="I84" s="3">
        <v>40000</v>
      </c>
      <c r="J84" s="3">
        <v>500000</v>
      </c>
      <c r="K84" s="3">
        <v>400000</v>
      </c>
      <c r="L84" s="3">
        <v>100000</v>
      </c>
      <c r="M84" s="5">
        <f t="shared" si="1"/>
        <v>0.2</v>
      </c>
    </row>
    <row r="85" spans="1:13" x14ac:dyDescent="0.3">
      <c r="A85" t="s">
        <v>464</v>
      </c>
      <c r="B85" t="s">
        <v>199</v>
      </c>
      <c r="C85" t="s">
        <v>39</v>
      </c>
      <c r="D85" t="s">
        <v>31</v>
      </c>
      <c r="E85" t="s">
        <v>21</v>
      </c>
      <c r="F85" t="s">
        <v>22</v>
      </c>
      <c r="G85">
        <v>10</v>
      </c>
      <c r="H85" s="3">
        <v>2000</v>
      </c>
      <c r="I85" s="3">
        <v>1200</v>
      </c>
      <c r="J85" s="3">
        <v>20000</v>
      </c>
      <c r="K85" s="3">
        <v>12000</v>
      </c>
      <c r="L85" s="3">
        <v>8000</v>
      </c>
      <c r="M85" s="5">
        <f t="shared" si="1"/>
        <v>0.4</v>
      </c>
    </row>
    <row r="86" spans="1:13" x14ac:dyDescent="0.3">
      <c r="A86" t="s">
        <v>540</v>
      </c>
      <c r="B86" t="s">
        <v>541</v>
      </c>
      <c r="C86" t="s">
        <v>39</v>
      </c>
      <c r="D86" t="s">
        <v>15</v>
      </c>
      <c r="E86" t="s">
        <v>46</v>
      </c>
      <c r="F86" t="s">
        <v>17</v>
      </c>
      <c r="G86">
        <v>2</v>
      </c>
      <c r="H86" s="3">
        <v>20000</v>
      </c>
      <c r="I86" s="3">
        <v>15000</v>
      </c>
      <c r="J86" s="3">
        <v>40000</v>
      </c>
      <c r="K86" s="3">
        <v>30000</v>
      </c>
      <c r="L86" s="3">
        <v>10000</v>
      </c>
      <c r="M86" s="5">
        <f t="shared" si="1"/>
        <v>0.25</v>
      </c>
    </row>
    <row r="87" spans="1:13" x14ac:dyDescent="0.3">
      <c r="A87" t="s">
        <v>37</v>
      </c>
      <c r="B87" t="s">
        <v>38</v>
      </c>
      <c r="C87" t="s">
        <v>39</v>
      </c>
      <c r="D87" t="s">
        <v>15</v>
      </c>
      <c r="E87" t="s">
        <v>27</v>
      </c>
      <c r="F87" t="s">
        <v>17</v>
      </c>
      <c r="G87">
        <v>8</v>
      </c>
      <c r="H87" s="3">
        <v>30000</v>
      </c>
      <c r="I87" s="3">
        <v>24000</v>
      </c>
      <c r="J87" s="3">
        <v>240000</v>
      </c>
      <c r="K87" s="3">
        <v>192000</v>
      </c>
      <c r="L87" s="3">
        <v>48000</v>
      </c>
      <c r="M87" s="5">
        <f t="shared" si="1"/>
        <v>0.2</v>
      </c>
    </row>
    <row r="88" spans="1:13" x14ac:dyDescent="0.3">
      <c r="A88" t="s">
        <v>134</v>
      </c>
      <c r="B88" t="s">
        <v>38</v>
      </c>
      <c r="C88" t="s">
        <v>39</v>
      </c>
      <c r="D88" t="s">
        <v>31</v>
      </c>
      <c r="E88" t="s">
        <v>27</v>
      </c>
      <c r="F88" t="s">
        <v>17</v>
      </c>
      <c r="G88">
        <v>3</v>
      </c>
      <c r="H88" s="3">
        <v>30000</v>
      </c>
      <c r="I88" s="3">
        <v>24000</v>
      </c>
      <c r="J88" s="3">
        <v>90000</v>
      </c>
      <c r="K88" s="3">
        <v>72000</v>
      </c>
      <c r="L88" s="3">
        <v>18000</v>
      </c>
      <c r="M88" s="5">
        <f t="shared" si="1"/>
        <v>0.2</v>
      </c>
    </row>
    <row r="89" spans="1:13" x14ac:dyDescent="0.3">
      <c r="A89" t="s">
        <v>431</v>
      </c>
      <c r="B89" t="s">
        <v>38</v>
      </c>
      <c r="C89" t="s">
        <v>39</v>
      </c>
      <c r="D89" t="s">
        <v>36</v>
      </c>
      <c r="E89" t="s">
        <v>62</v>
      </c>
      <c r="F89" t="s">
        <v>17</v>
      </c>
      <c r="G89">
        <v>2</v>
      </c>
      <c r="H89" s="3">
        <v>50000</v>
      </c>
      <c r="I89" s="3">
        <v>40000</v>
      </c>
      <c r="J89" s="3">
        <v>100000</v>
      </c>
      <c r="K89" s="3">
        <v>80000</v>
      </c>
      <c r="L89" s="3">
        <v>20000</v>
      </c>
      <c r="M89" s="5">
        <f t="shared" si="1"/>
        <v>0.2</v>
      </c>
    </row>
    <row r="90" spans="1:13" x14ac:dyDescent="0.3">
      <c r="A90" t="s">
        <v>633</v>
      </c>
      <c r="B90" t="s">
        <v>38</v>
      </c>
      <c r="C90" t="s">
        <v>39</v>
      </c>
      <c r="D90" t="s">
        <v>15</v>
      </c>
      <c r="E90" t="s">
        <v>27</v>
      </c>
      <c r="F90" t="s">
        <v>17</v>
      </c>
      <c r="G90">
        <v>4</v>
      </c>
      <c r="H90" s="3">
        <v>30000</v>
      </c>
      <c r="I90" s="3">
        <v>24000</v>
      </c>
      <c r="J90" s="3">
        <v>120000</v>
      </c>
      <c r="K90" s="3">
        <v>96000</v>
      </c>
      <c r="L90" s="3">
        <v>24000</v>
      </c>
      <c r="M90" s="5">
        <f t="shared" si="1"/>
        <v>0.2</v>
      </c>
    </row>
    <row r="91" spans="1:13" x14ac:dyDescent="0.3">
      <c r="A91" t="s">
        <v>76</v>
      </c>
      <c r="B91" t="s">
        <v>77</v>
      </c>
      <c r="C91" t="s">
        <v>39</v>
      </c>
      <c r="D91" t="s">
        <v>36</v>
      </c>
      <c r="E91" t="s">
        <v>27</v>
      </c>
      <c r="F91" t="s">
        <v>17</v>
      </c>
      <c r="G91">
        <v>3</v>
      </c>
      <c r="H91" s="3">
        <v>30000</v>
      </c>
      <c r="I91" s="3">
        <v>24000</v>
      </c>
      <c r="J91" s="3">
        <v>90000</v>
      </c>
      <c r="K91" s="3">
        <v>72000</v>
      </c>
      <c r="L91" s="3">
        <v>18000</v>
      </c>
      <c r="M91" s="5">
        <f t="shared" si="1"/>
        <v>0.2</v>
      </c>
    </row>
    <row r="92" spans="1:13" x14ac:dyDescent="0.3">
      <c r="A92" t="s">
        <v>343</v>
      </c>
      <c r="B92" t="s">
        <v>77</v>
      </c>
      <c r="C92" t="s">
        <v>39</v>
      </c>
      <c r="D92" t="s">
        <v>31</v>
      </c>
      <c r="E92" t="s">
        <v>21</v>
      </c>
      <c r="F92" t="s">
        <v>22</v>
      </c>
      <c r="G92">
        <v>4</v>
      </c>
      <c r="H92" s="3">
        <v>2000</v>
      </c>
      <c r="I92" s="3">
        <v>1200</v>
      </c>
      <c r="J92" s="3">
        <v>8000</v>
      </c>
      <c r="K92" s="3">
        <v>4800</v>
      </c>
      <c r="L92" s="3">
        <v>3200</v>
      </c>
      <c r="M92" s="5">
        <f t="shared" si="1"/>
        <v>0.4</v>
      </c>
    </row>
    <row r="93" spans="1:13" x14ac:dyDescent="0.3">
      <c r="A93" t="s">
        <v>451</v>
      </c>
      <c r="B93" t="s">
        <v>452</v>
      </c>
      <c r="C93" t="s">
        <v>39</v>
      </c>
      <c r="D93" t="s">
        <v>15</v>
      </c>
      <c r="E93" t="s">
        <v>21</v>
      </c>
      <c r="F93" t="s">
        <v>22</v>
      </c>
      <c r="G93">
        <v>10</v>
      </c>
      <c r="H93" s="3">
        <v>2000</v>
      </c>
      <c r="I93" s="3">
        <v>1200</v>
      </c>
      <c r="J93" s="3">
        <v>20000</v>
      </c>
      <c r="K93" s="3">
        <v>12000</v>
      </c>
      <c r="L93" s="3">
        <v>8000</v>
      </c>
      <c r="M93" s="5">
        <f t="shared" si="1"/>
        <v>0.4</v>
      </c>
    </row>
    <row r="94" spans="1:13" x14ac:dyDescent="0.3">
      <c r="A94" t="s">
        <v>127</v>
      </c>
      <c r="B94" t="s">
        <v>128</v>
      </c>
      <c r="C94" t="s">
        <v>39</v>
      </c>
      <c r="D94" t="s">
        <v>36</v>
      </c>
      <c r="E94" t="s">
        <v>16</v>
      </c>
      <c r="F94" t="s">
        <v>17</v>
      </c>
      <c r="G94">
        <v>5</v>
      </c>
      <c r="H94" s="3">
        <v>15000</v>
      </c>
      <c r="I94" s="3">
        <v>11000</v>
      </c>
      <c r="J94" s="3">
        <v>75000</v>
      </c>
      <c r="K94" s="3">
        <v>55000</v>
      </c>
      <c r="L94" s="3">
        <v>20000</v>
      </c>
      <c r="M94" s="5">
        <f t="shared" si="1"/>
        <v>0.26666666666666666</v>
      </c>
    </row>
    <row r="95" spans="1:13" x14ac:dyDescent="0.3">
      <c r="A95" t="s">
        <v>129</v>
      </c>
      <c r="B95" t="s">
        <v>128</v>
      </c>
      <c r="C95" t="s">
        <v>39</v>
      </c>
      <c r="D95" t="s">
        <v>31</v>
      </c>
      <c r="E95" t="s">
        <v>62</v>
      </c>
      <c r="F95" t="s">
        <v>17</v>
      </c>
      <c r="G95">
        <v>2</v>
      </c>
      <c r="H95" s="3">
        <v>50000</v>
      </c>
      <c r="I95" s="3">
        <v>40000</v>
      </c>
      <c r="J95" s="3">
        <v>100000</v>
      </c>
      <c r="K95" s="3">
        <v>80000</v>
      </c>
      <c r="L95" s="3">
        <v>20000</v>
      </c>
      <c r="M95" s="5">
        <f t="shared" si="1"/>
        <v>0.2</v>
      </c>
    </row>
    <row r="96" spans="1:13" x14ac:dyDescent="0.3">
      <c r="A96" t="s">
        <v>402</v>
      </c>
      <c r="B96" t="s">
        <v>128</v>
      </c>
      <c r="C96" t="s">
        <v>39</v>
      </c>
      <c r="D96" t="s">
        <v>15</v>
      </c>
      <c r="E96" t="s">
        <v>62</v>
      </c>
      <c r="F96" t="s">
        <v>17</v>
      </c>
      <c r="G96">
        <v>1</v>
      </c>
      <c r="H96" s="3">
        <v>50000</v>
      </c>
      <c r="I96" s="3">
        <v>40000</v>
      </c>
      <c r="J96" s="3">
        <v>50000</v>
      </c>
      <c r="K96" s="3">
        <v>40000</v>
      </c>
      <c r="L96" s="3">
        <v>10000</v>
      </c>
      <c r="M96" s="5">
        <f t="shared" si="1"/>
        <v>0.2</v>
      </c>
    </row>
    <row r="97" spans="1:13" x14ac:dyDescent="0.3">
      <c r="A97" t="s">
        <v>196</v>
      </c>
      <c r="B97" t="s">
        <v>197</v>
      </c>
      <c r="C97" t="s">
        <v>42</v>
      </c>
      <c r="D97" t="s">
        <v>26</v>
      </c>
      <c r="E97" t="s">
        <v>27</v>
      </c>
      <c r="F97" t="s">
        <v>17</v>
      </c>
      <c r="G97">
        <v>2</v>
      </c>
      <c r="H97" s="3">
        <v>30000</v>
      </c>
      <c r="I97" s="3">
        <v>24000</v>
      </c>
      <c r="J97" s="3">
        <v>60000</v>
      </c>
      <c r="K97" s="3">
        <v>48000</v>
      </c>
      <c r="L97" s="3">
        <v>12000</v>
      </c>
      <c r="M97" s="5">
        <f t="shared" si="1"/>
        <v>0.2</v>
      </c>
    </row>
    <row r="98" spans="1:13" x14ac:dyDescent="0.3">
      <c r="A98" t="s">
        <v>229</v>
      </c>
      <c r="B98" t="s">
        <v>197</v>
      </c>
      <c r="C98" t="s">
        <v>42</v>
      </c>
      <c r="D98" t="s">
        <v>31</v>
      </c>
      <c r="E98" t="s">
        <v>46</v>
      </c>
      <c r="F98" t="s">
        <v>17</v>
      </c>
      <c r="G98">
        <v>8</v>
      </c>
      <c r="H98" s="3">
        <v>20000</v>
      </c>
      <c r="I98" s="3">
        <v>15000</v>
      </c>
      <c r="J98" s="3">
        <v>160000</v>
      </c>
      <c r="K98" s="3">
        <v>120000</v>
      </c>
      <c r="L98" s="3">
        <v>40000</v>
      </c>
      <c r="M98" s="5">
        <f t="shared" si="1"/>
        <v>0.25</v>
      </c>
    </row>
    <row r="99" spans="1:13" x14ac:dyDescent="0.3">
      <c r="A99" t="s">
        <v>329</v>
      </c>
      <c r="B99" t="s">
        <v>330</v>
      </c>
      <c r="C99" t="s">
        <v>42</v>
      </c>
      <c r="D99" t="s">
        <v>15</v>
      </c>
      <c r="E99" t="s">
        <v>62</v>
      </c>
      <c r="F99" t="s">
        <v>17</v>
      </c>
      <c r="G99">
        <v>9</v>
      </c>
      <c r="H99" s="3">
        <v>50000</v>
      </c>
      <c r="I99" s="3">
        <v>40000</v>
      </c>
      <c r="J99" s="3">
        <v>450000</v>
      </c>
      <c r="K99" s="3">
        <v>360000</v>
      </c>
      <c r="L99" s="3">
        <v>90000</v>
      </c>
      <c r="M99" s="5">
        <f t="shared" si="1"/>
        <v>0.2</v>
      </c>
    </row>
    <row r="100" spans="1:13" x14ac:dyDescent="0.3">
      <c r="A100" t="s">
        <v>477</v>
      </c>
      <c r="B100" t="s">
        <v>478</v>
      </c>
      <c r="C100" t="s">
        <v>42</v>
      </c>
      <c r="D100" t="s">
        <v>31</v>
      </c>
      <c r="E100" t="s">
        <v>62</v>
      </c>
      <c r="F100" t="s">
        <v>17</v>
      </c>
      <c r="G100">
        <v>8</v>
      </c>
      <c r="H100" s="3">
        <v>50000</v>
      </c>
      <c r="I100" s="3">
        <v>40000</v>
      </c>
      <c r="J100" s="3">
        <v>400000</v>
      </c>
      <c r="K100" s="3">
        <v>320000</v>
      </c>
      <c r="L100" s="3">
        <v>80000</v>
      </c>
      <c r="M100" s="5">
        <f t="shared" si="1"/>
        <v>0.2</v>
      </c>
    </row>
    <row r="101" spans="1:13" x14ac:dyDescent="0.3">
      <c r="A101" t="s">
        <v>178</v>
      </c>
      <c r="B101" t="s">
        <v>179</v>
      </c>
      <c r="C101" t="s">
        <v>42</v>
      </c>
      <c r="D101" t="s">
        <v>31</v>
      </c>
      <c r="E101" t="s">
        <v>46</v>
      </c>
      <c r="F101" t="s">
        <v>17</v>
      </c>
      <c r="G101">
        <v>8</v>
      </c>
      <c r="H101" s="3">
        <v>20000</v>
      </c>
      <c r="I101" s="3">
        <v>15000</v>
      </c>
      <c r="J101" s="3">
        <v>160000</v>
      </c>
      <c r="K101" s="3">
        <v>120000</v>
      </c>
      <c r="L101" s="3">
        <v>40000</v>
      </c>
      <c r="M101" s="5">
        <f t="shared" si="1"/>
        <v>0.25</v>
      </c>
    </row>
    <row r="102" spans="1:13" x14ac:dyDescent="0.3">
      <c r="A102" t="s">
        <v>132</v>
      </c>
      <c r="B102" t="s">
        <v>133</v>
      </c>
      <c r="C102" t="s">
        <v>42</v>
      </c>
      <c r="D102" t="s">
        <v>31</v>
      </c>
      <c r="E102" t="s">
        <v>62</v>
      </c>
      <c r="F102" t="s">
        <v>17</v>
      </c>
      <c r="G102">
        <v>8</v>
      </c>
      <c r="H102" s="3">
        <v>50000</v>
      </c>
      <c r="I102" s="3">
        <v>40000</v>
      </c>
      <c r="J102" s="3">
        <v>400000</v>
      </c>
      <c r="K102" s="3">
        <v>320000</v>
      </c>
      <c r="L102" s="3">
        <v>80000</v>
      </c>
      <c r="M102" s="5">
        <f t="shared" si="1"/>
        <v>0.2</v>
      </c>
    </row>
    <row r="103" spans="1:13" x14ac:dyDescent="0.3">
      <c r="A103" t="s">
        <v>604</v>
      </c>
      <c r="B103" t="s">
        <v>133</v>
      </c>
      <c r="C103" t="s">
        <v>42</v>
      </c>
      <c r="D103" t="s">
        <v>31</v>
      </c>
      <c r="E103" t="s">
        <v>46</v>
      </c>
      <c r="F103" t="s">
        <v>17</v>
      </c>
      <c r="G103">
        <v>9</v>
      </c>
      <c r="H103" s="3">
        <v>20000</v>
      </c>
      <c r="I103" s="3">
        <v>15000</v>
      </c>
      <c r="J103" s="3">
        <v>180000</v>
      </c>
      <c r="K103" s="3">
        <v>135000</v>
      </c>
      <c r="L103" s="3">
        <v>45000</v>
      </c>
      <c r="M103" s="5">
        <f t="shared" si="1"/>
        <v>0.25</v>
      </c>
    </row>
    <row r="104" spans="1:13" x14ac:dyDescent="0.3">
      <c r="A104" t="s">
        <v>641</v>
      </c>
      <c r="B104" t="s">
        <v>133</v>
      </c>
      <c r="C104" t="s">
        <v>42</v>
      </c>
      <c r="D104" t="s">
        <v>26</v>
      </c>
      <c r="E104" t="s">
        <v>62</v>
      </c>
      <c r="F104" t="s">
        <v>17</v>
      </c>
      <c r="G104">
        <v>4</v>
      </c>
      <c r="H104" s="3">
        <v>50000</v>
      </c>
      <c r="I104" s="3">
        <v>40000</v>
      </c>
      <c r="J104" s="3">
        <v>200000</v>
      </c>
      <c r="K104" s="3">
        <v>160000</v>
      </c>
      <c r="L104" s="3">
        <v>40000</v>
      </c>
      <c r="M104" s="5">
        <f t="shared" si="1"/>
        <v>0.2</v>
      </c>
    </row>
    <row r="105" spans="1:13" x14ac:dyDescent="0.3">
      <c r="A105" t="s">
        <v>183</v>
      </c>
      <c r="B105" t="s">
        <v>184</v>
      </c>
      <c r="C105" t="s">
        <v>42</v>
      </c>
      <c r="D105" t="s">
        <v>26</v>
      </c>
      <c r="E105" t="s">
        <v>16</v>
      </c>
      <c r="F105" t="s">
        <v>17</v>
      </c>
      <c r="G105">
        <v>10</v>
      </c>
      <c r="H105" s="3">
        <v>15000</v>
      </c>
      <c r="I105" s="3">
        <v>11000</v>
      </c>
      <c r="J105" s="3">
        <v>150000</v>
      </c>
      <c r="K105" s="3">
        <v>110000</v>
      </c>
      <c r="L105" s="3">
        <v>40000</v>
      </c>
      <c r="M105" s="5">
        <f t="shared" si="1"/>
        <v>0.26666666666666666</v>
      </c>
    </row>
    <row r="106" spans="1:13" x14ac:dyDescent="0.3">
      <c r="A106" t="s">
        <v>272</v>
      </c>
      <c r="B106" t="s">
        <v>184</v>
      </c>
      <c r="C106" t="s">
        <v>42</v>
      </c>
      <c r="D106" t="s">
        <v>36</v>
      </c>
      <c r="E106" t="s">
        <v>62</v>
      </c>
      <c r="F106" t="s">
        <v>17</v>
      </c>
      <c r="G106">
        <v>9</v>
      </c>
      <c r="H106" s="3">
        <v>50000</v>
      </c>
      <c r="I106" s="3">
        <v>40000</v>
      </c>
      <c r="J106" s="3">
        <v>450000</v>
      </c>
      <c r="K106" s="3">
        <v>360000</v>
      </c>
      <c r="L106" s="3">
        <v>90000</v>
      </c>
      <c r="M106" s="5">
        <f t="shared" si="1"/>
        <v>0.2</v>
      </c>
    </row>
    <row r="107" spans="1:13" x14ac:dyDescent="0.3">
      <c r="A107" t="s">
        <v>564</v>
      </c>
      <c r="B107" t="s">
        <v>565</v>
      </c>
      <c r="C107" t="s">
        <v>42</v>
      </c>
      <c r="D107" t="s">
        <v>31</v>
      </c>
      <c r="E107" t="s">
        <v>21</v>
      </c>
      <c r="F107" t="s">
        <v>22</v>
      </c>
      <c r="G107">
        <v>3</v>
      </c>
      <c r="H107" s="3">
        <v>2000</v>
      </c>
      <c r="I107" s="3">
        <v>1200</v>
      </c>
      <c r="J107" s="3">
        <v>6000</v>
      </c>
      <c r="K107" s="3">
        <v>3600</v>
      </c>
      <c r="L107" s="3">
        <v>2400</v>
      </c>
      <c r="M107" s="5">
        <f t="shared" si="1"/>
        <v>0.4</v>
      </c>
    </row>
    <row r="108" spans="1:13" x14ac:dyDescent="0.3">
      <c r="A108" t="s">
        <v>644</v>
      </c>
      <c r="B108" t="s">
        <v>565</v>
      </c>
      <c r="C108" t="s">
        <v>42</v>
      </c>
      <c r="D108" t="s">
        <v>31</v>
      </c>
      <c r="E108" t="s">
        <v>16</v>
      </c>
      <c r="F108" t="s">
        <v>17</v>
      </c>
      <c r="G108">
        <v>3</v>
      </c>
      <c r="H108" s="3">
        <v>15000</v>
      </c>
      <c r="I108" s="3">
        <v>11000</v>
      </c>
      <c r="J108" s="3">
        <v>45000</v>
      </c>
      <c r="K108" s="3">
        <v>33000</v>
      </c>
      <c r="L108" s="3">
        <v>12000</v>
      </c>
      <c r="M108" s="5">
        <f t="shared" si="1"/>
        <v>0.26666666666666666</v>
      </c>
    </row>
    <row r="109" spans="1:13" x14ac:dyDescent="0.3">
      <c r="A109" t="s">
        <v>251</v>
      </c>
      <c r="B109" t="s">
        <v>252</v>
      </c>
      <c r="C109" t="s">
        <v>42</v>
      </c>
      <c r="D109" t="s">
        <v>26</v>
      </c>
      <c r="E109" t="s">
        <v>21</v>
      </c>
      <c r="F109" t="s">
        <v>22</v>
      </c>
      <c r="G109">
        <v>10</v>
      </c>
      <c r="H109" s="3">
        <v>2000</v>
      </c>
      <c r="I109" s="3">
        <v>1200</v>
      </c>
      <c r="J109" s="3">
        <v>20000</v>
      </c>
      <c r="K109" s="3">
        <v>12000</v>
      </c>
      <c r="L109" s="3">
        <v>8000</v>
      </c>
      <c r="M109" s="5">
        <f t="shared" si="1"/>
        <v>0.4</v>
      </c>
    </row>
    <row r="110" spans="1:13" x14ac:dyDescent="0.3">
      <c r="A110" t="s">
        <v>561</v>
      </c>
      <c r="B110" t="s">
        <v>252</v>
      </c>
      <c r="C110" t="s">
        <v>42</v>
      </c>
      <c r="D110" t="s">
        <v>36</v>
      </c>
      <c r="E110" t="s">
        <v>21</v>
      </c>
      <c r="F110" t="s">
        <v>22</v>
      </c>
      <c r="G110">
        <v>1</v>
      </c>
      <c r="H110" s="3">
        <v>2000</v>
      </c>
      <c r="I110" s="3">
        <v>1200</v>
      </c>
      <c r="J110" s="3">
        <v>2000</v>
      </c>
      <c r="K110" s="3">
        <v>1200</v>
      </c>
      <c r="L110" s="3">
        <v>800</v>
      </c>
      <c r="M110" s="5">
        <f t="shared" si="1"/>
        <v>0.4</v>
      </c>
    </row>
    <row r="111" spans="1:13" x14ac:dyDescent="0.3">
      <c r="A111" t="s">
        <v>78</v>
      </c>
      <c r="B111" t="s">
        <v>79</v>
      </c>
      <c r="C111" t="s">
        <v>42</v>
      </c>
      <c r="D111" t="s">
        <v>36</v>
      </c>
      <c r="E111" t="s">
        <v>46</v>
      </c>
      <c r="F111" t="s">
        <v>17</v>
      </c>
      <c r="G111">
        <v>4</v>
      </c>
      <c r="H111" s="3">
        <v>20000</v>
      </c>
      <c r="I111" s="3">
        <v>15000</v>
      </c>
      <c r="J111" s="3">
        <v>80000</v>
      </c>
      <c r="K111" s="3">
        <v>60000</v>
      </c>
      <c r="L111" s="3">
        <v>20000</v>
      </c>
      <c r="M111" s="5">
        <f t="shared" si="1"/>
        <v>0.25</v>
      </c>
    </row>
    <row r="112" spans="1:13" x14ac:dyDescent="0.3">
      <c r="A112" t="s">
        <v>40</v>
      </c>
      <c r="B112" t="s">
        <v>41</v>
      </c>
      <c r="C112" t="s">
        <v>42</v>
      </c>
      <c r="D112" t="s">
        <v>15</v>
      </c>
      <c r="E112" t="s">
        <v>21</v>
      </c>
      <c r="F112" t="s">
        <v>22</v>
      </c>
      <c r="G112">
        <v>10</v>
      </c>
      <c r="H112" s="3">
        <v>2000</v>
      </c>
      <c r="I112" s="3">
        <v>1200</v>
      </c>
      <c r="J112" s="3">
        <v>20000</v>
      </c>
      <c r="K112" s="3">
        <v>12000</v>
      </c>
      <c r="L112" s="3">
        <v>8000</v>
      </c>
      <c r="M112" s="5">
        <f t="shared" si="1"/>
        <v>0.4</v>
      </c>
    </row>
    <row r="113" spans="1:13" x14ac:dyDescent="0.3">
      <c r="A113" t="s">
        <v>422</v>
      </c>
      <c r="B113" t="s">
        <v>423</v>
      </c>
      <c r="C113" t="s">
        <v>42</v>
      </c>
      <c r="D113" t="s">
        <v>31</v>
      </c>
      <c r="E113" t="s">
        <v>46</v>
      </c>
      <c r="F113" t="s">
        <v>17</v>
      </c>
      <c r="G113">
        <v>7</v>
      </c>
      <c r="H113" s="3">
        <v>20000</v>
      </c>
      <c r="I113" s="3">
        <v>15000</v>
      </c>
      <c r="J113" s="3">
        <v>140000</v>
      </c>
      <c r="K113" s="3">
        <v>105000</v>
      </c>
      <c r="L113" s="3">
        <v>35000</v>
      </c>
      <c r="M113" s="5">
        <f t="shared" si="1"/>
        <v>0.25</v>
      </c>
    </row>
    <row r="114" spans="1:13" x14ac:dyDescent="0.3">
      <c r="A114" t="s">
        <v>493</v>
      </c>
      <c r="B114" t="s">
        <v>494</v>
      </c>
      <c r="C114" t="s">
        <v>42</v>
      </c>
      <c r="D114" t="s">
        <v>26</v>
      </c>
      <c r="E114" t="s">
        <v>27</v>
      </c>
      <c r="F114" t="s">
        <v>17</v>
      </c>
      <c r="G114">
        <v>6</v>
      </c>
      <c r="H114" s="3">
        <v>30000</v>
      </c>
      <c r="I114" s="3">
        <v>24000</v>
      </c>
      <c r="J114" s="3">
        <v>180000</v>
      </c>
      <c r="K114" s="3">
        <v>144000</v>
      </c>
      <c r="L114" s="3">
        <v>36000</v>
      </c>
      <c r="M114" s="5">
        <f t="shared" si="1"/>
        <v>0.2</v>
      </c>
    </row>
    <row r="115" spans="1:13" x14ac:dyDescent="0.3">
      <c r="A115" t="s">
        <v>405</v>
      </c>
      <c r="B115" t="s">
        <v>406</v>
      </c>
      <c r="C115" t="s">
        <v>42</v>
      </c>
      <c r="D115" t="s">
        <v>15</v>
      </c>
      <c r="E115" t="s">
        <v>16</v>
      </c>
      <c r="F115" t="s">
        <v>17</v>
      </c>
      <c r="G115">
        <v>6</v>
      </c>
      <c r="H115" s="3">
        <v>15000</v>
      </c>
      <c r="I115" s="3">
        <v>11000</v>
      </c>
      <c r="J115" s="3">
        <v>90000</v>
      </c>
      <c r="K115" s="3">
        <v>66000</v>
      </c>
      <c r="L115" s="3">
        <v>24000</v>
      </c>
      <c r="M115" s="5">
        <f t="shared" si="1"/>
        <v>0.26666666666666666</v>
      </c>
    </row>
    <row r="116" spans="1:13" x14ac:dyDescent="0.3">
      <c r="A116" t="s">
        <v>174</v>
      </c>
      <c r="B116" t="s">
        <v>175</v>
      </c>
      <c r="C116" t="s">
        <v>42</v>
      </c>
      <c r="D116" t="s">
        <v>26</v>
      </c>
      <c r="E116" t="s">
        <v>16</v>
      </c>
      <c r="F116" t="s">
        <v>17</v>
      </c>
      <c r="G116">
        <v>6</v>
      </c>
      <c r="H116" s="3">
        <v>15000</v>
      </c>
      <c r="I116" s="3">
        <v>11000</v>
      </c>
      <c r="J116" s="3">
        <v>90000</v>
      </c>
      <c r="K116" s="3">
        <v>66000</v>
      </c>
      <c r="L116" s="3">
        <v>24000</v>
      </c>
      <c r="M116" s="5">
        <f t="shared" si="1"/>
        <v>0.26666666666666666</v>
      </c>
    </row>
    <row r="117" spans="1:13" x14ac:dyDescent="0.3">
      <c r="A117" t="s">
        <v>372</v>
      </c>
      <c r="B117" t="s">
        <v>373</v>
      </c>
      <c r="C117" t="s">
        <v>42</v>
      </c>
      <c r="D117" t="s">
        <v>15</v>
      </c>
      <c r="E117" t="s">
        <v>21</v>
      </c>
      <c r="F117" t="s">
        <v>22</v>
      </c>
      <c r="G117">
        <v>8</v>
      </c>
      <c r="H117" s="3">
        <v>2000</v>
      </c>
      <c r="I117" s="3">
        <v>1200</v>
      </c>
      <c r="J117" s="3">
        <v>16000</v>
      </c>
      <c r="K117" s="3">
        <v>9600</v>
      </c>
      <c r="L117" s="3">
        <v>6400</v>
      </c>
      <c r="M117" s="5">
        <f t="shared" si="1"/>
        <v>0.4</v>
      </c>
    </row>
    <row r="118" spans="1:13" x14ac:dyDescent="0.3">
      <c r="A118" t="s">
        <v>605</v>
      </c>
      <c r="B118" t="s">
        <v>606</v>
      </c>
      <c r="C118" t="s">
        <v>42</v>
      </c>
      <c r="D118" t="s">
        <v>15</v>
      </c>
      <c r="E118" t="s">
        <v>27</v>
      </c>
      <c r="F118" t="s">
        <v>17</v>
      </c>
      <c r="G118">
        <v>4</v>
      </c>
      <c r="H118" s="3">
        <v>30000</v>
      </c>
      <c r="I118" s="3">
        <v>24000</v>
      </c>
      <c r="J118" s="3">
        <v>120000</v>
      </c>
      <c r="K118" s="3">
        <v>96000</v>
      </c>
      <c r="L118" s="3">
        <v>24000</v>
      </c>
      <c r="M118" s="5">
        <f t="shared" si="1"/>
        <v>0.2</v>
      </c>
    </row>
    <row r="119" spans="1:13" x14ac:dyDescent="0.3">
      <c r="A119" t="s">
        <v>311</v>
      </c>
      <c r="B119" t="s">
        <v>312</v>
      </c>
      <c r="C119" t="s">
        <v>42</v>
      </c>
      <c r="D119" t="s">
        <v>36</v>
      </c>
      <c r="E119" t="s">
        <v>21</v>
      </c>
      <c r="F119" t="s">
        <v>22</v>
      </c>
      <c r="G119">
        <v>1</v>
      </c>
      <c r="H119" s="3">
        <v>2000</v>
      </c>
      <c r="I119" s="3">
        <v>1200</v>
      </c>
      <c r="J119" s="3">
        <v>2000</v>
      </c>
      <c r="K119" s="3">
        <v>1200</v>
      </c>
      <c r="L119" s="3">
        <v>800</v>
      </c>
      <c r="M119" s="5">
        <f t="shared" si="1"/>
        <v>0.4</v>
      </c>
    </row>
    <row r="120" spans="1:13" x14ac:dyDescent="0.3">
      <c r="A120" t="s">
        <v>502</v>
      </c>
      <c r="B120" t="s">
        <v>312</v>
      </c>
      <c r="C120" t="s">
        <v>42</v>
      </c>
      <c r="D120" t="s">
        <v>26</v>
      </c>
      <c r="E120" t="s">
        <v>27</v>
      </c>
      <c r="F120" t="s">
        <v>17</v>
      </c>
      <c r="G120">
        <v>4</v>
      </c>
      <c r="H120" s="3">
        <v>30000</v>
      </c>
      <c r="I120" s="3">
        <v>24000</v>
      </c>
      <c r="J120" s="3">
        <v>120000</v>
      </c>
      <c r="K120" s="3">
        <v>96000</v>
      </c>
      <c r="L120" s="3">
        <v>24000</v>
      </c>
      <c r="M120" s="5">
        <f t="shared" si="1"/>
        <v>0.2</v>
      </c>
    </row>
    <row r="121" spans="1:13" x14ac:dyDescent="0.3">
      <c r="A121" t="s">
        <v>418</v>
      </c>
      <c r="B121" t="s">
        <v>419</v>
      </c>
      <c r="C121" t="s">
        <v>42</v>
      </c>
      <c r="D121" t="s">
        <v>31</v>
      </c>
      <c r="E121" t="s">
        <v>16</v>
      </c>
      <c r="F121" t="s">
        <v>17</v>
      </c>
      <c r="G121">
        <v>5</v>
      </c>
      <c r="H121" s="3">
        <v>15000</v>
      </c>
      <c r="I121" s="3">
        <v>11000</v>
      </c>
      <c r="J121" s="3">
        <v>75000</v>
      </c>
      <c r="K121" s="3">
        <v>55000</v>
      </c>
      <c r="L121" s="3">
        <v>20000</v>
      </c>
      <c r="M121" s="5">
        <f t="shared" si="1"/>
        <v>0.26666666666666666</v>
      </c>
    </row>
    <row r="122" spans="1:13" x14ac:dyDescent="0.3">
      <c r="A122" t="s">
        <v>512</v>
      </c>
      <c r="B122" t="s">
        <v>513</v>
      </c>
      <c r="C122" t="s">
        <v>25</v>
      </c>
      <c r="D122" t="s">
        <v>15</v>
      </c>
      <c r="E122" t="s">
        <v>27</v>
      </c>
      <c r="F122" t="s">
        <v>17</v>
      </c>
      <c r="G122">
        <v>6</v>
      </c>
      <c r="H122" s="3">
        <v>30000</v>
      </c>
      <c r="I122" s="3">
        <v>24000</v>
      </c>
      <c r="J122" s="3">
        <v>180000</v>
      </c>
      <c r="K122" s="3">
        <v>144000</v>
      </c>
      <c r="L122" s="3">
        <v>36000</v>
      </c>
      <c r="M122" s="5">
        <f t="shared" si="1"/>
        <v>0.2</v>
      </c>
    </row>
    <row r="123" spans="1:13" x14ac:dyDescent="0.3">
      <c r="A123" t="s">
        <v>625</v>
      </c>
      <c r="B123" t="s">
        <v>513</v>
      </c>
      <c r="C123" t="s">
        <v>25</v>
      </c>
      <c r="D123" t="s">
        <v>36</v>
      </c>
      <c r="E123" t="s">
        <v>16</v>
      </c>
      <c r="F123" t="s">
        <v>17</v>
      </c>
      <c r="G123">
        <v>8</v>
      </c>
      <c r="H123" s="3">
        <v>15000</v>
      </c>
      <c r="I123" s="3">
        <v>11000</v>
      </c>
      <c r="J123" s="3">
        <v>120000</v>
      </c>
      <c r="K123" s="3">
        <v>88000</v>
      </c>
      <c r="L123" s="3">
        <v>32000</v>
      </c>
      <c r="M123" s="5">
        <f t="shared" si="1"/>
        <v>0.26666666666666666</v>
      </c>
    </row>
    <row r="124" spans="1:13" x14ac:dyDescent="0.3">
      <c r="A124" t="s">
        <v>630</v>
      </c>
      <c r="B124" t="s">
        <v>513</v>
      </c>
      <c r="C124" t="s">
        <v>25</v>
      </c>
      <c r="D124" t="s">
        <v>36</v>
      </c>
      <c r="E124" t="s">
        <v>46</v>
      </c>
      <c r="F124" t="s">
        <v>17</v>
      </c>
      <c r="G124">
        <v>7</v>
      </c>
      <c r="H124" s="3">
        <v>20000</v>
      </c>
      <c r="I124" s="3">
        <v>15000</v>
      </c>
      <c r="J124" s="3">
        <v>140000</v>
      </c>
      <c r="K124" s="3">
        <v>105000</v>
      </c>
      <c r="L124" s="3">
        <v>35000</v>
      </c>
      <c r="M124" s="5">
        <f t="shared" si="1"/>
        <v>0.25</v>
      </c>
    </row>
    <row r="125" spans="1:13" x14ac:dyDescent="0.3">
      <c r="A125" t="s">
        <v>438</v>
      </c>
      <c r="B125" t="s">
        <v>439</v>
      </c>
      <c r="C125" t="s">
        <v>25</v>
      </c>
      <c r="D125" t="s">
        <v>26</v>
      </c>
      <c r="E125" t="s">
        <v>46</v>
      </c>
      <c r="F125" t="s">
        <v>17</v>
      </c>
      <c r="G125">
        <v>5</v>
      </c>
      <c r="H125" s="3">
        <v>20000</v>
      </c>
      <c r="I125" s="3">
        <v>15000</v>
      </c>
      <c r="J125" s="3">
        <v>100000</v>
      </c>
      <c r="K125" s="3">
        <v>75000</v>
      </c>
      <c r="L125" s="3">
        <v>25000</v>
      </c>
      <c r="M125" s="5">
        <f t="shared" si="1"/>
        <v>0.25</v>
      </c>
    </row>
    <row r="126" spans="1:13" x14ac:dyDescent="0.3">
      <c r="A126" t="s">
        <v>400</v>
      </c>
      <c r="B126" t="s">
        <v>401</v>
      </c>
      <c r="C126" t="s">
        <v>25</v>
      </c>
      <c r="D126" t="s">
        <v>36</v>
      </c>
      <c r="E126" t="s">
        <v>21</v>
      </c>
      <c r="F126" t="s">
        <v>22</v>
      </c>
      <c r="G126">
        <v>6</v>
      </c>
      <c r="H126" s="3">
        <v>2000</v>
      </c>
      <c r="I126" s="3">
        <v>1200</v>
      </c>
      <c r="J126" s="3">
        <v>12000</v>
      </c>
      <c r="K126" s="3">
        <v>7200</v>
      </c>
      <c r="L126" s="3">
        <v>4800</v>
      </c>
      <c r="M126" s="5">
        <f t="shared" si="1"/>
        <v>0.4</v>
      </c>
    </row>
    <row r="127" spans="1:13" x14ac:dyDescent="0.3">
      <c r="A127" t="s">
        <v>520</v>
      </c>
      <c r="B127" t="s">
        <v>521</v>
      </c>
      <c r="C127" t="s">
        <v>25</v>
      </c>
      <c r="D127" t="s">
        <v>15</v>
      </c>
      <c r="E127" t="s">
        <v>46</v>
      </c>
      <c r="F127" t="s">
        <v>17</v>
      </c>
      <c r="G127">
        <v>8</v>
      </c>
      <c r="H127" s="3">
        <v>20000</v>
      </c>
      <c r="I127" s="3">
        <v>15000</v>
      </c>
      <c r="J127" s="3">
        <v>160000</v>
      </c>
      <c r="K127" s="3">
        <v>120000</v>
      </c>
      <c r="L127" s="3">
        <v>40000</v>
      </c>
      <c r="M127" s="5">
        <f t="shared" si="1"/>
        <v>0.25</v>
      </c>
    </row>
    <row r="128" spans="1:13" x14ac:dyDescent="0.3">
      <c r="A128" t="s">
        <v>557</v>
      </c>
      <c r="B128" t="s">
        <v>521</v>
      </c>
      <c r="C128" t="s">
        <v>25</v>
      </c>
      <c r="D128" t="s">
        <v>26</v>
      </c>
      <c r="E128" t="s">
        <v>16</v>
      </c>
      <c r="F128" t="s">
        <v>17</v>
      </c>
      <c r="G128">
        <v>2</v>
      </c>
      <c r="H128" s="3">
        <v>15000</v>
      </c>
      <c r="I128" s="3">
        <v>11000</v>
      </c>
      <c r="J128" s="3">
        <v>30000</v>
      </c>
      <c r="K128" s="3">
        <v>22000</v>
      </c>
      <c r="L128" s="3">
        <v>8000</v>
      </c>
      <c r="M128" s="5">
        <f t="shared" si="1"/>
        <v>0.26666666666666666</v>
      </c>
    </row>
    <row r="129" spans="1:13" x14ac:dyDescent="0.3">
      <c r="A129" t="s">
        <v>313</v>
      </c>
      <c r="B129" t="s">
        <v>314</v>
      </c>
      <c r="C129" t="s">
        <v>25</v>
      </c>
      <c r="D129" t="s">
        <v>26</v>
      </c>
      <c r="E129" t="s">
        <v>46</v>
      </c>
      <c r="F129" t="s">
        <v>17</v>
      </c>
      <c r="G129">
        <v>4</v>
      </c>
      <c r="H129" s="3">
        <v>20000</v>
      </c>
      <c r="I129" s="3">
        <v>15000</v>
      </c>
      <c r="J129" s="3">
        <v>80000</v>
      </c>
      <c r="K129" s="3">
        <v>60000</v>
      </c>
      <c r="L129" s="3">
        <v>20000</v>
      </c>
      <c r="M129" s="5">
        <f t="shared" si="1"/>
        <v>0.25</v>
      </c>
    </row>
    <row r="130" spans="1:13" x14ac:dyDescent="0.3">
      <c r="A130" t="s">
        <v>338</v>
      </c>
      <c r="B130" t="s">
        <v>314</v>
      </c>
      <c r="C130" t="s">
        <v>25</v>
      </c>
      <c r="D130" t="s">
        <v>26</v>
      </c>
      <c r="E130" t="s">
        <v>27</v>
      </c>
      <c r="F130" t="s">
        <v>17</v>
      </c>
      <c r="G130">
        <v>6</v>
      </c>
      <c r="H130" s="3">
        <v>30000</v>
      </c>
      <c r="I130" s="3">
        <v>24000</v>
      </c>
      <c r="J130" s="3">
        <v>180000</v>
      </c>
      <c r="K130" s="3">
        <v>144000</v>
      </c>
      <c r="L130" s="3">
        <v>36000</v>
      </c>
      <c r="M130" s="5">
        <f t="shared" si="1"/>
        <v>0.2</v>
      </c>
    </row>
    <row r="131" spans="1:13" x14ac:dyDescent="0.3">
      <c r="A131" t="s">
        <v>572</v>
      </c>
      <c r="B131" t="s">
        <v>314</v>
      </c>
      <c r="C131" t="s">
        <v>25</v>
      </c>
      <c r="D131" t="s">
        <v>15</v>
      </c>
      <c r="E131" t="s">
        <v>46</v>
      </c>
      <c r="F131" t="s">
        <v>17</v>
      </c>
      <c r="G131">
        <v>9</v>
      </c>
      <c r="H131" s="3">
        <v>20000</v>
      </c>
      <c r="I131" s="3">
        <v>15000</v>
      </c>
      <c r="J131" s="3">
        <v>180000</v>
      </c>
      <c r="K131" s="3">
        <v>135000</v>
      </c>
      <c r="L131" s="3">
        <v>45000</v>
      </c>
      <c r="M131" s="5">
        <f t="shared" ref="M131:M194" si="2">L131/J131</f>
        <v>0.25</v>
      </c>
    </row>
    <row r="132" spans="1:13" x14ac:dyDescent="0.3">
      <c r="A132" t="s">
        <v>663</v>
      </c>
      <c r="B132" t="s">
        <v>314</v>
      </c>
      <c r="C132" t="s">
        <v>25</v>
      </c>
      <c r="D132" t="s">
        <v>15</v>
      </c>
      <c r="E132" t="s">
        <v>21</v>
      </c>
      <c r="F132" t="s">
        <v>22</v>
      </c>
      <c r="G132">
        <v>6</v>
      </c>
      <c r="H132" s="3">
        <v>2000</v>
      </c>
      <c r="I132" s="3">
        <v>1200</v>
      </c>
      <c r="J132" s="3">
        <v>12000</v>
      </c>
      <c r="K132" s="3">
        <v>7200</v>
      </c>
      <c r="L132" s="3">
        <v>4800</v>
      </c>
      <c r="M132" s="5">
        <f t="shared" si="2"/>
        <v>0.4</v>
      </c>
    </row>
    <row r="133" spans="1:13" x14ac:dyDescent="0.3">
      <c r="A133" t="s">
        <v>600</v>
      </c>
      <c r="B133" t="s">
        <v>601</v>
      </c>
      <c r="C133" t="s">
        <v>25</v>
      </c>
      <c r="D133" t="s">
        <v>31</v>
      </c>
      <c r="E133" t="s">
        <v>21</v>
      </c>
      <c r="F133" t="s">
        <v>22</v>
      </c>
      <c r="G133">
        <v>6</v>
      </c>
      <c r="H133" s="3">
        <v>2000</v>
      </c>
      <c r="I133" s="3">
        <v>1200</v>
      </c>
      <c r="J133" s="3">
        <v>12000</v>
      </c>
      <c r="K133" s="3">
        <v>7200</v>
      </c>
      <c r="L133" s="3">
        <v>4800</v>
      </c>
      <c r="M133" s="5">
        <f t="shared" si="2"/>
        <v>0.4</v>
      </c>
    </row>
    <row r="134" spans="1:13" x14ac:dyDescent="0.3">
      <c r="A134" t="s">
        <v>465</v>
      </c>
      <c r="B134" t="s">
        <v>466</v>
      </c>
      <c r="C134" t="s">
        <v>25</v>
      </c>
      <c r="D134" t="s">
        <v>26</v>
      </c>
      <c r="E134" t="s">
        <v>46</v>
      </c>
      <c r="F134" t="s">
        <v>17</v>
      </c>
      <c r="G134">
        <v>9</v>
      </c>
      <c r="H134" s="3">
        <v>20000</v>
      </c>
      <c r="I134" s="3">
        <v>15000</v>
      </c>
      <c r="J134" s="3">
        <v>180000</v>
      </c>
      <c r="K134" s="3">
        <v>135000</v>
      </c>
      <c r="L134" s="3">
        <v>45000</v>
      </c>
      <c r="M134" s="5">
        <f t="shared" si="2"/>
        <v>0.25</v>
      </c>
    </row>
    <row r="135" spans="1:13" x14ac:dyDescent="0.3">
      <c r="A135" t="s">
        <v>440</v>
      </c>
      <c r="B135" t="s">
        <v>441</v>
      </c>
      <c r="C135" t="s">
        <v>25</v>
      </c>
      <c r="D135" t="s">
        <v>31</v>
      </c>
      <c r="E135" t="s">
        <v>27</v>
      </c>
      <c r="F135" t="s">
        <v>17</v>
      </c>
      <c r="G135">
        <v>7</v>
      </c>
      <c r="H135" s="3">
        <v>30000</v>
      </c>
      <c r="I135" s="3">
        <v>24000</v>
      </c>
      <c r="J135" s="3">
        <v>210000</v>
      </c>
      <c r="K135" s="3">
        <v>168000</v>
      </c>
      <c r="L135" s="3">
        <v>42000</v>
      </c>
      <c r="M135" s="5">
        <f t="shared" si="2"/>
        <v>0.2</v>
      </c>
    </row>
    <row r="136" spans="1:13" x14ac:dyDescent="0.3">
      <c r="A136" t="s">
        <v>432</v>
      </c>
      <c r="B136" t="s">
        <v>433</v>
      </c>
      <c r="C136" t="s">
        <v>25</v>
      </c>
      <c r="D136" t="s">
        <v>31</v>
      </c>
      <c r="E136" t="s">
        <v>21</v>
      </c>
      <c r="F136" t="s">
        <v>22</v>
      </c>
      <c r="G136">
        <v>8</v>
      </c>
      <c r="H136" s="3">
        <v>2000</v>
      </c>
      <c r="I136" s="3">
        <v>1200</v>
      </c>
      <c r="J136" s="3">
        <v>16000</v>
      </c>
      <c r="K136" s="3">
        <v>9600</v>
      </c>
      <c r="L136" s="3">
        <v>6400</v>
      </c>
      <c r="M136" s="5">
        <f t="shared" si="2"/>
        <v>0.4</v>
      </c>
    </row>
    <row r="137" spans="1:13" x14ac:dyDescent="0.3">
      <c r="A137" t="s">
        <v>23</v>
      </c>
      <c r="B137" t="s">
        <v>24</v>
      </c>
      <c r="C137" t="s">
        <v>25</v>
      </c>
      <c r="D137" t="s">
        <v>26</v>
      </c>
      <c r="E137" t="s">
        <v>27</v>
      </c>
      <c r="F137" t="s">
        <v>17</v>
      </c>
      <c r="G137">
        <v>9</v>
      </c>
      <c r="H137" s="3">
        <v>30000</v>
      </c>
      <c r="I137" s="3">
        <v>24000</v>
      </c>
      <c r="J137" s="3">
        <v>270000</v>
      </c>
      <c r="K137" s="3">
        <v>216000</v>
      </c>
      <c r="L137" s="3">
        <v>54000</v>
      </c>
      <c r="M137" s="5">
        <f t="shared" si="2"/>
        <v>0.2</v>
      </c>
    </row>
    <row r="138" spans="1:13" x14ac:dyDescent="0.3">
      <c r="A138" t="s">
        <v>285</v>
      </c>
      <c r="B138" t="s">
        <v>24</v>
      </c>
      <c r="C138" t="s">
        <v>25</v>
      </c>
      <c r="D138" t="s">
        <v>15</v>
      </c>
      <c r="E138" t="s">
        <v>27</v>
      </c>
      <c r="F138" t="s">
        <v>17</v>
      </c>
      <c r="G138">
        <v>8</v>
      </c>
      <c r="H138" s="3">
        <v>30000</v>
      </c>
      <c r="I138" s="3">
        <v>24000</v>
      </c>
      <c r="J138" s="3">
        <v>240000</v>
      </c>
      <c r="K138" s="3">
        <v>192000</v>
      </c>
      <c r="L138" s="3">
        <v>48000</v>
      </c>
      <c r="M138" s="5">
        <f t="shared" si="2"/>
        <v>0.2</v>
      </c>
    </row>
    <row r="139" spans="1:13" x14ac:dyDescent="0.3">
      <c r="A139" t="s">
        <v>634</v>
      </c>
      <c r="B139" t="s">
        <v>635</v>
      </c>
      <c r="C139" t="s">
        <v>25</v>
      </c>
      <c r="D139" t="s">
        <v>31</v>
      </c>
      <c r="E139" t="s">
        <v>21</v>
      </c>
      <c r="F139" t="s">
        <v>22</v>
      </c>
      <c r="G139">
        <v>2</v>
      </c>
      <c r="H139" s="3">
        <v>2000</v>
      </c>
      <c r="I139" s="3">
        <v>1200</v>
      </c>
      <c r="J139" s="3">
        <v>4000</v>
      </c>
      <c r="K139" s="3">
        <v>2400</v>
      </c>
      <c r="L139" s="3">
        <v>1600</v>
      </c>
      <c r="M139" s="5">
        <f t="shared" si="2"/>
        <v>0.4</v>
      </c>
    </row>
    <row r="140" spans="1:13" x14ac:dyDescent="0.3">
      <c r="A140" t="s">
        <v>308</v>
      </c>
      <c r="B140" t="s">
        <v>309</v>
      </c>
      <c r="C140" t="s">
        <v>25</v>
      </c>
      <c r="D140" t="s">
        <v>26</v>
      </c>
      <c r="E140" t="s">
        <v>46</v>
      </c>
      <c r="F140" t="s">
        <v>17</v>
      </c>
      <c r="G140">
        <v>3</v>
      </c>
      <c r="H140" s="3">
        <v>20000</v>
      </c>
      <c r="I140" s="3">
        <v>15000</v>
      </c>
      <c r="J140" s="3">
        <v>60000</v>
      </c>
      <c r="K140" s="3">
        <v>45000</v>
      </c>
      <c r="L140" s="3">
        <v>15000</v>
      </c>
      <c r="M140" s="5">
        <f t="shared" si="2"/>
        <v>0.25</v>
      </c>
    </row>
    <row r="141" spans="1:13" x14ac:dyDescent="0.3">
      <c r="A141" t="s">
        <v>479</v>
      </c>
      <c r="B141" t="s">
        <v>480</v>
      </c>
      <c r="C141" t="s">
        <v>25</v>
      </c>
      <c r="D141" t="s">
        <v>31</v>
      </c>
      <c r="E141" t="s">
        <v>46</v>
      </c>
      <c r="F141" t="s">
        <v>17</v>
      </c>
      <c r="G141">
        <v>1</v>
      </c>
      <c r="H141" s="3">
        <v>20000</v>
      </c>
      <c r="I141" s="3">
        <v>15000</v>
      </c>
      <c r="J141" s="3">
        <v>20000</v>
      </c>
      <c r="K141" s="3">
        <v>15000</v>
      </c>
      <c r="L141" s="3">
        <v>5000</v>
      </c>
      <c r="M141" s="5">
        <f t="shared" si="2"/>
        <v>0.25</v>
      </c>
    </row>
    <row r="142" spans="1:13" x14ac:dyDescent="0.3">
      <c r="A142" t="s">
        <v>525</v>
      </c>
      <c r="B142" t="s">
        <v>480</v>
      </c>
      <c r="C142" t="s">
        <v>25</v>
      </c>
      <c r="D142" t="s">
        <v>26</v>
      </c>
      <c r="E142" t="s">
        <v>16</v>
      </c>
      <c r="F142" t="s">
        <v>17</v>
      </c>
      <c r="G142">
        <v>6</v>
      </c>
      <c r="H142" s="3">
        <v>15000</v>
      </c>
      <c r="I142" s="3">
        <v>11000</v>
      </c>
      <c r="J142" s="3">
        <v>90000</v>
      </c>
      <c r="K142" s="3">
        <v>66000</v>
      </c>
      <c r="L142" s="3">
        <v>24000</v>
      </c>
      <c r="M142" s="5">
        <f t="shared" si="2"/>
        <v>0.26666666666666666</v>
      </c>
    </row>
    <row r="143" spans="1:13" x14ac:dyDescent="0.3">
      <c r="A143" t="s">
        <v>216</v>
      </c>
      <c r="B143" t="s">
        <v>217</v>
      </c>
      <c r="C143" t="s">
        <v>25</v>
      </c>
      <c r="D143" t="s">
        <v>31</v>
      </c>
      <c r="E143" t="s">
        <v>21</v>
      </c>
      <c r="F143" t="s">
        <v>22</v>
      </c>
      <c r="G143">
        <v>4</v>
      </c>
      <c r="H143" s="3">
        <v>2000</v>
      </c>
      <c r="I143" s="3">
        <v>1200</v>
      </c>
      <c r="J143" s="3">
        <v>8000</v>
      </c>
      <c r="K143" s="3">
        <v>4800</v>
      </c>
      <c r="L143" s="3">
        <v>3200</v>
      </c>
      <c r="M143" s="5">
        <f t="shared" si="2"/>
        <v>0.4</v>
      </c>
    </row>
    <row r="144" spans="1:13" x14ac:dyDescent="0.3">
      <c r="A144" t="s">
        <v>359</v>
      </c>
      <c r="B144" t="s">
        <v>217</v>
      </c>
      <c r="C144" t="s">
        <v>25</v>
      </c>
      <c r="D144" t="s">
        <v>36</v>
      </c>
      <c r="E144" t="s">
        <v>16</v>
      </c>
      <c r="F144" t="s">
        <v>17</v>
      </c>
      <c r="G144">
        <v>10</v>
      </c>
      <c r="H144" s="3">
        <v>15000</v>
      </c>
      <c r="I144" s="3">
        <v>11000</v>
      </c>
      <c r="J144" s="3">
        <v>150000</v>
      </c>
      <c r="K144" s="3">
        <v>110000</v>
      </c>
      <c r="L144" s="3">
        <v>40000</v>
      </c>
      <c r="M144" s="5">
        <f t="shared" si="2"/>
        <v>0.26666666666666666</v>
      </c>
    </row>
    <row r="145" spans="1:13" x14ac:dyDescent="0.3">
      <c r="A145" t="s">
        <v>580</v>
      </c>
      <c r="B145" t="s">
        <v>581</v>
      </c>
      <c r="C145" t="s">
        <v>25</v>
      </c>
      <c r="D145" t="s">
        <v>26</v>
      </c>
      <c r="E145" t="s">
        <v>21</v>
      </c>
      <c r="F145" t="s">
        <v>22</v>
      </c>
      <c r="G145">
        <v>7</v>
      </c>
      <c r="H145" s="3">
        <v>2000</v>
      </c>
      <c r="I145" s="3">
        <v>1200</v>
      </c>
      <c r="J145" s="3">
        <v>14000</v>
      </c>
      <c r="K145" s="3">
        <v>8400</v>
      </c>
      <c r="L145" s="3">
        <v>5600</v>
      </c>
      <c r="M145" s="5">
        <f t="shared" si="2"/>
        <v>0.4</v>
      </c>
    </row>
    <row r="146" spans="1:13" x14ac:dyDescent="0.3">
      <c r="A146" t="s">
        <v>664</v>
      </c>
      <c r="B146" t="s">
        <v>665</v>
      </c>
      <c r="C146" t="s">
        <v>25</v>
      </c>
      <c r="D146" t="s">
        <v>15</v>
      </c>
      <c r="E146" t="s">
        <v>27</v>
      </c>
      <c r="F146" t="s">
        <v>17</v>
      </c>
      <c r="G146">
        <v>7</v>
      </c>
      <c r="H146" s="3">
        <v>30000</v>
      </c>
      <c r="I146" s="3">
        <v>24000</v>
      </c>
      <c r="J146" s="3">
        <v>210000</v>
      </c>
      <c r="K146" s="3">
        <v>168000</v>
      </c>
      <c r="L146" s="3">
        <v>42000</v>
      </c>
      <c r="M146" s="5">
        <f t="shared" si="2"/>
        <v>0.2</v>
      </c>
    </row>
    <row r="147" spans="1:13" x14ac:dyDescent="0.3">
      <c r="A147" t="s">
        <v>531</v>
      </c>
      <c r="B147" t="s">
        <v>532</v>
      </c>
      <c r="C147" t="s">
        <v>25</v>
      </c>
      <c r="D147" t="s">
        <v>31</v>
      </c>
      <c r="E147" t="s">
        <v>16</v>
      </c>
      <c r="F147" t="s">
        <v>17</v>
      </c>
      <c r="G147">
        <v>1</v>
      </c>
      <c r="H147" s="3">
        <v>15000</v>
      </c>
      <c r="I147" s="3">
        <v>11000</v>
      </c>
      <c r="J147" s="3">
        <v>15000</v>
      </c>
      <c r="K147" s="3">
        <v>11000</v>
      </c>
      <c r="L147" s="3">
        <v>4000</v>
      </c>
      <c r="M147" s="5">
        <f t="shared" si="2"/>
        <v>0.26666666666666666</v>
      </c>
    </row>
    <row r="148" spans="1:13" x14ac:dyDescent="0.3">
      <c r="A148" t="s">
        <v>352</v>
      </c>
      <c r="B148" t="s">
        <v>353</v>
      </c>
      <c r="C148" t="s">
        <v>25</v>
      </c>
      <c r="D148" t="s">
        <v>36</v>
      </c>
      <c r="E148" t="s">
        <v>16</v>
      </c>
      <c r="F148" t="s">
        <v>17</v>
      </c>
      <c r="G148">
        <v>3</v>
      </c>
      <c r="H148" s="3">
        <v>15000</v>
      </c>
      <c r="I148" s="3">
        <v>11000</v>
      </c>
      <c r="J148" s="3">
        <v>45000</v>
      </c>
      <c r="K148" s="3">
        <v>33000</v>
      </c>
      <c r="L148" s="3">
        <v>12000</v>
      </c>
      <c r="M148" s="5">
        <f t="shared" si="2"/>
        <v>0.26666666666666666</v>
      </c>
    </row>
    <row r="149" spans="1:13" x14ac:dyDescent="0.3">
      <c r="A149" t="s">
        <v>117</v>
      </c>
      <c r="B149" t="s">
        <v>118</v>
      </c>
      <c r="C149" t="s">
        <v>25</v>
      </c>
      <c r="D149" t="s">
        <v>31</v>
      </c>
      <c r="E149" t="s">
        <v>46</v>
      </c>
      <c r="F149" t="s">
        <v>17</v>
      </c>
      <c r="G149">
        <v>3</v>
      </c>
      <c r="H149" s="3">
        <v>20000</v>
      </c>
      <c r="I149" s="3">
        <v>15000</v>
      </c>
      <c r="J149" s="3">
        <v>60000</v>
      </c>
      <c r="K149" s="3">
        <v>45000</v>
      </c>
      <c r="L149" s="3">
        <v>15000</v>
      </c>
      <c r="M149" s="5">
        <f t="shared" si="2"/>
        <v>0.25</v>
      </c>
    </row>
    <row r="150" spans="1:13" x14ac:dyDescent="0.3">
      <c r="A150" t="s">
        <v>245</v>
      </c>
      <c r="B150" t="s">
        <v>118</v>
      </c>
      <c r="C150" t="s">
        <v>25</v>
      </c>
      <c r="D150" t="s">
        <v>15</v>
      </c>
      <c r="E150" t="s">
        <v>21</v>
      </c>
      <c r="F150" t="s">
        <v>22</v>
      </c>
      <c r="G150">
        <v>7</v>
      </c>
      <c r="H150" s="3">
        <v>2000</v>
      </c>
      <c r="I150" s="3">
        <v>1200</v>
      </c>
      <c r="J150" s="3">
        <v>14000</v>
      </c>
      <c r="K150" s="3">
        <v>8400</v>
      </c>
      <c r="L150" s="3">
        <v>5600</v>
      </c>
      <c r="M150" s="5">
        <f t="shared" si="2"/>
        <v>0.4</v>
      </c>
    </row>
    <row r="151" spans="1:13" x14ac:dyDescent="0.3">
      <c r="A151" t="s">
        <v>397</v>
      </c>
      <c r="B151" t="s">
        <v>118</v>
      </c>
      <c r="C151" t="s">
        <v>25</v>
      </c>
      <c r="D151" t="s">
        <v>26</v>
      </c>
      <c r="E151" t="s">
        <v>16</v>
      </c>
      <c r="F151" t="s">
        <v>17</v>
      </c>
      <c r="G151">
        <v>6</v>
      </c>
      <c r="H151" s="3">
        <v>15000</v>
      </c>
      <c r="I151" s="3">
        <v>11000</v>
      </c>
      <c r="J151" s="3">
        <v>90000</v>
      </c>
      <c r="K151" s="3">
        <v>66000</v>
      </c>
      <c r="L151" s="3">
        <v>24000</v>
      </c>
      <c r="M151" s="5">
        <f t="shared" si="2"/>
        <v>0.26666666666666666</v>
      </c>
    </row>
    <row r="152" spans="1:13" x14ac:dyDescent="0.3">
      <c r="A152" t="s">
        <v>626</v>
      </c>
      <c r="B152" t="s">
        <v>118</v>
      </c>
      <c r="C152" t="s">
        <v>25</v>
      </c>
      <c r="D152" t="s">
        <v>26</v>
      </c>
      <c r="E152" t="s">
        <v>46</v>
      </c>
      <c r="F152" t="s">
        <v>17</v>
      </c>
      <c r="G152">
        <v>6</v>
      </c>
      <c r="H152" s="3">
        <v>20000</v>
      </c>
      <c r="I152" s="3">
        <v>15000</v>
      </c>
      <c r="J152" s="3">
        <v>120000</v>
      </c>
      <c r="K152" s="3">
        <v>90000</v>
      </c>
      <c r="L152" s="3">
        <v>30000</v>
      </c>
      <c r="M152" s="5">
        <f t="shared" si="2"/>
        <v>0.25</v>
      </c>
    </row>
    <row r="153" spans="1:13" x14ac:dyDescent="0.3">
      <c r="A153" t="s">
        <v>147</v>
      </c>
      <c r="B153" t="s">
        <v>148</v>
      </c>
      <c r="C153" t="s">
        <v>25</v>
      </c>
      <c r="D153" t="s">
        <v>15</v>
      </c>
      <c r="E153" t="s">
        <v>27</v>
      </c>
      <c r="F153" t="s">
        <v>17</v>
      </c>
      <c r="G153">
        <v>3</v>
      </c>
      <c r="H153" s="3">
        <v>30000</v>
      </c>
      <c r="I153" s="3">
        <v>24000</v>
      </c>
      <c r="J153" s="3">
        <v>90000</v>
      </c>
      <c r="K153" s="3">
        <v>72000</v>
      </c>
      <c r="L153" s="3">
        <v>18000</v>
      </c>
      <c r="M153" s="5">
        <f t="shared" si="2"/>
        <v>0.2</v>
      </c>
    </row>
    <row r="154" spans="1:13" x14ac:dyDescent="0.3">
      <c r="A154" t="s">
        <v>207</v>
      </c>
      <c r="B154" t="s">
        <v>148</v>
      </c>
      <c r="C154" t="s">
        <v>25</v>
      </c>
      <c r="D154" t="s">
        <v>26</v>
      </c>
      <c r="E154" t="s">
        <v>46</v>
      </c>
      <c r="F154" t="s">
        <v>17</v>
      </c>
      <c r="G154">
        <v>10</v>
      </c>
      <c r="H154" s="3">
        <v>20000</v>
      </c>
      <c r="I154" s="3">
        <v>15000</v>
      </c>
      <c r="J154" s="3">
        <v>200000</v>
      </c>
      <c r="K154" s="3">
        <v>150000</v>
      </c>
      <c r="L154" s="3">
        <v>50000</v>
      </c>
      <c r="M154" s="5">
        <f t="shared" si="2"/>
        <v>0.25</v>
      </c>
    </row>
    <row r="155" spans="1:13" x14ac:dyDescent="0.3">
      <c r="A155" t="s">
        <v>486</v>
      </c>
      <c r="B155" t="s">
        <v>487</v>
      </c>
      <c r="C155" t="s">
        <v>25</v>
      </c>
      <c r="D155" t="s">
        <v>26</v>
      </c>
      <c r="E155" t="s">
        <v>16</v>
      </c>
      <c r="F155" t="s">
        <v>17</v>
      </c>
      <c r="G155">
        <v>8</v>
      </c>
      <c r="H155" s="3">
        <v>15000</v>
      </c>
      <c r="I155" s="3">
        <v>11000</v>
      </c>
      <c r="J155" s="3">
        <v>120000</v>
      </c>
      <c r="K155" s="3">
        <v>88000</v>
      </c>
      <c r="L155" s="3">
        <v>32000</v>
      </c>
      <c r="M155" s="5">
        <f t="shared" si="2"/>
        <v>0.26666666666666666</v>
      </c>
    </row>
    <row r="156" spans="1:13" x14ac:dyDescent="0.3">
      <c r="A156" t="s">
        <v>364</v>
      </c>
      <c r="B156" t="s">
        <v>365</v>
      </c>
      <c r="C156" t="s">
        <v>25</v>
      </c>
      <c r="D156" t="s">
        <v>31</v>
      </c>
      <c r="E156" t="s">
        <v>16</v>
      </c>
      <c r="F156" t="s">
        <v>17</v>
      </c>
      <c r="G156">
        <v>6</v>
      </c>
      <c r="H156" s="3">
        <v>15000</v>
      </c>
      <c r="I156" s="3">
        <v>11000</v>
      </c>
      <c r="J156" s="3">
        <v>90000</v>
      </c>
      <c r="K156" s="3">
        <v>66000</v>
      </c>
      <c r="L156" s="3">
        <v>24000</v>
      </c>
      <c r="M156" s="5">
        <f t="shared" si="2"/>
        <v>0.26666666666666666</v>
      </c>
    </row>
    <row r="157" spans="1:13" x14ac:dyDescent="0.3">
      <c r="A157" t="s">
        <v>394</v>
      </c>
      <c r="B157" t="s">
        <v>365</v>
      </c>
      <c r="C157" t="s">
        <v>25</v>
      </c>
      <c r="D157" t="s">
        <v>36</v>
      </c>
      <c r="E157" t="s">
        <v>62</v>
      </c>
      <c r="F157" t="s">
        <v>17</v>
      </c>
      <c r="G157">
        <v>4</v>
      </c>
      <c r="H157" s="3">
        <v>50000</v>
      </c>
      <c r="I157" s="3">
        <v>40000</v>
      </c>
      <c r="J157" s="3">
        <v>200000</v>
      </c>
      <c r="K157" s="3">
        <v>160000</v>
      </c>
      <c r="L157" s="3">
        <v>40000</v>
      </c>
      <c r="M157" s="5">
        <f t="shared" si="2"/>
        <v>0.2</v>
      </c>
    </row>
    <row r="158" spans="1:13" x14ac:dyDescent="0.3">
      <c r="A158" t="s">
        <v>410</v>
      </c>
      <c r="B158" t="s">
        <v>365</v>
      </c>
      <c r="C158" t="s">
        <v>25</v>
      </c>
      <c r="D158" t="s">
        <v>36</v>
      </c>
      <c r="E158" t="s">
        <v>16</v>
      </c>
      <c r="F158" t="s">
        <v>17</v>
      </c>
      <c r="G158">
        <v>2</v>
      </c>
      <c r="H158" s="3">
        <v>15000</v>
      </c>
      <c r="I158" s="3">
        <v>11000</v>
      </c>
      <c r="J158" s="3">
        <v>30000</v>
      </c>
      <c r="K158" s="3">
        <v>22000</v>
      </c>
      <c r="L158" s="3">
        <v>8000</v>
      </c>
      <c r="M158" s="5">
        <f t="shared" si="2"/>
        <v>0.26666666666666666</v>
      </c>
    </row>
    <row r="159" spans="1:13" x14ac:dyDescent="0.3">
      <c r="A159" t="s">
        <v>434</v>
      </c>
      <c r="B159" t="s">
        <v>365</v>
      </c>
      <c r="C159" t="s">
        <v>25</v>
      </c>
      <c r="D159" t="s">
        <v>26</v>
      </c>
      <c r="E159" t="s">
        <v>21</v>
      </c>
      <c r="F159" t="s">
        <v>22</v>
      </c>
      <c r="G159">
        <v>6</v>
      </c>
      <c r="H159" s="3">
        <v>2000</v>
      </c>
      <c r="I159" s="3">
        <v>1200</v>
      </c>
      <c r="J159" s="3">
        <v>12000</v>
      </c>
      <c r="K159" s="3">
        <v>7200</v>
      </c>
      <c r="L159" s="3">
        <v>4800</v>
      </c>
      <c r="M159" s="5">
        <f t="shared" si="2"/>
        <v>0.4</v>
      </c>
    </row>
    <row r="160" spans="1:13" x14ac:dyDescent="0.3">
      <c r="A160" t="s">
        <v>485</v>
      </c>
      <c r="B160" t="s">
        <v>365</v>
      </c>
      <c r="C160" t="s">
        <v>25</v>
      </c>
      <c r="D160" t="s">
        <v>31</v>
      </c>
      <c r="E160" t="s">
        <v>16</v>
      </c>
      <c r="F160" t="s">
        <v>17</v>
      </c>
      <c r="G160">
        <v>2</v>
      </c>
      <c r="H160" s="3">
        <v>15000</v>
      </c>
      <c r="I160" s="3">
        <v>11000</v>
      </c>
      <c r="J160" s="3">
        <v>30000</v>
      </c>
      <c r="K160" s="3">
        <v>22000</v>
      </c>
      <c r="L160" s="3">
        <v>8000</v>
      </c>
      <c r="M160" s="5">
        <f t="shared" si="2"/>
        <v>0.26666666666666666</v>
      </c>
    </row>
    <row r="161" spans="1:13" x14ac:dyDescent="0.3">
      <c r="A161" t="s">
        <v>656</v>
      </c>
      <c r="B161" t="s">
        <v>365</v>
      </c>
      <c r="C161" t="s">
        <v>25</v>
      </c>
      <c r="D161" t="s">
        <v>15</v>
      </c>
      <c r="E161" t="s">
        <v>16</v>
      </c>
      <c r="F161" t="s">
        <v>17</v>
      </c>
      <c r="G161">
        <v>7</v>
      </c>
      <c r="H161" s="3">
        <v>15000</v>
      </c>
      <c r="I161" s="3">
        <v>11000</v>
      </c>
      <c r="J161" s="3">
        <v>105000</v>
      </c>
      <c r="K161" s="3">
        <v>77000</v>
      </c>
      <c r="L161" s="3">
        <v>28000</v>
      </c>
      <c r="M161" s="5">
        <f t="shared" si="2"/>
        <v>0.26666666666666666</v>
      </c>
    </row>
    <row r="162" spans="1:13" x14ac:dyDescent="0.3">
      <c r="A162" t="s">
        <v>334</v>
      </c>
      <c r="B162" t="s">
        <v>335</v>
      </c>
      <c r="C162" t="s">
        <v>25</v>
      </c>
      <c r="D162" t="s">
        <v>31</v>
      </c>
      <c r="E162" t="s">
        <v>21</v>
      </c>
      <c r="F162" t="s">
        <v>22</v>
      </c>
      <c r="G162">
        <v>7</v>
      </c>
      <c r="H162" s="3">
        <v>2000</v>
      </c>
      <c r="I162" s="3">
        <v>1200</v>
      </c>
      <c r="J162" s="3">
        <v>14000</v>
      </c>
      <c r="K162" s="3">
        <v>8400</v>
      </c>
      <c r="L162" s="3">
        <v>5600</v>
      </c>
      <c r="M162" s="5">
        <f t="shared" si="2"/>
        <v>0.4</v>
      </c>
    </row>
    <row r="163" spans="1:13" x14ac:dyDescent="0.3">
      <c r="A163" t="s">
        <v>621</v>
      </c>
      <c r="B163" t="s">
        <v>335</v>
      </c>
      <c r="C163" t="s">
        <v>25</v>
      </c>
      <c r="D163" t="s">
        <v>31</v>
      </c>
      <c r="E163" t="s">
        <v>16</v>
      </c>
      <c r="F163" t="s">
        <v>17</v>
      </c>
      <c r="G163">
        <v>1</v>
      </c>
      <c r="H163" s="3">
        <v>15000</v>
      </c>
      <c r="I163" s="3">
        <v>11000</v>
      </c>
      <c r="J163" s="3">
        <v>15000</v>
      </c>
      <c r="K163" s="3">
        <v>11000</v>
      </c>
      <c r="L163" s="3">
        <v>4000</v>
      </c>
      <c r="M163" s="5">
        <f t="shared" si="2"/>
        <v>0.26666666666666666</v>
      </c>
    </row>
    <row r="164" spans="1:13" x14ac:dyDescent="0.3">
      <c r="A164" t="s">
        <v>52</v>
      </c>
      <c r="B164" t="s">
        <v>53</v>
      </c>
      <c r="C164" t="s">
        <v>45</v>
      </c>
      <c r="D164" t="s">
        <v>26</v>
      </c>
      <c r="E164" t="s">
        <v>21</v>
      </c>
      <c r="F164" t="s">
        <v>22</v>
      </c>
      <c r="G164">
        <v>6</v>
      </c>
      <c r="H164" s="3">
        <v>2000</v>
      </c>
      <c r="I164" s="3">
        <v>1200</v>
      </c>
      <c r="J164" s="3">
        <v>12000</v>
      </c>
      <c r="K164" s="3">
        <v>7200</v>
      </c>
      <c r="L164" s="3">
        <v>4800</v>
      </c>
      <c r="M164" s="5">
        <f t="shared" si="2"/>
        <v>0.4</v>
      </c>
    </row>
    <row r="165" spans="1:13" x14ac:dyDescent="0.3">
      <c r="A165" t="s">
        <v>545</v>
      </c>
      <c r="B165" t="s">
        <v>546</v>
      </c>
      <c r="C165" t="s">
        <v>45</v>
      </c>
      <c r="D165" t="s">
        <v>36</v>
      </c>
      <c r="E165" t="s">
        <v>62</v>
      </c>
      <c r="F165" t="s">
        <v>17</v>
      </c>
      <c r="G165">
        <v>1</v>
      </c>
      <c r="H165" s="3">
        <v>50000</v>
      </c>
      <c r="I165" s="3">
        <v>40000</v>
      </c>
      <c r="J165" s="3">
        <v>50000</v>
      </c>
      <c r="K165" s="3">
        <v>40000</v>
      </c>
      <c r="L165" s="3">
        <v>10000</v>
      </c>
      <c r="M165" s="5">
        <f t="shared" si="2"/>
        <v>0.2</v>
      </c>
    </row>
    <row r="166" spans="1:13" x14ac:dyDescent="0.3">
      <c r="A166" t="s">
        <v>65</v>
      </c>
      <c r="B166" t="s">
        <v>66</v>
      </c>
      <c r="C166" t="s">
        <v>45</v>
      </c>
      <c r="D166" t="s">
        <v>36</v>
      </c>
      <c r="E166" t="s">
        <v>21</v>
      </c>
      <c r="F166" t="s">
        <v>22</v>
      </c>
      <c r="G166">
        <v>4</v>
      </c>
      <c r="H166" s="3">
        <v>2000</v>
      </c>
      <c r="I166" s="3">
        <v>1200</v>
      </c>
      <c r="J166" s="3">
        <v>8000</v>
      </c>
      <c r="K166" s="3">
        <v>4800</v>
      </c>
      <c r="L166" s="3">
        <v>3200</v>
      </c>
      <c r="M166" s="5">
        <f t="shared" si="2"/>
        <v>0.4</v>
      </c>
    </row>
    <row r="167" spans="1:13" x14ac:dyDescent="0.3">
      <c r="A167" t="s">
        <v>386</v>
      </c>
      <c r="B167" t="s">
        <v>387</v>
      </c>
      <c r="C167" t="s">
        <v>45</v>
      </c>
      <c r="D167" t="s">
        <v>15</v>
      </c>
      <c r="E167" t="s">
        <v>16</v>
      </c>
      <c r="F167" t="s">
        <v>17</v>
      </c>
      <c r="G167">
        <v>8</v>
      </c>
      <c r="H167" s="3">
        <v>15000</v>
      </c>
      <c r="I167" s="3">
        <v>11000</v>
      </c>
      <c r="J167" s="3">
        <v>120000</v>
      </c>
      <c r="K167" s="3">
        <v>88000</v>
      </c>
      <c r="L167" s="3">
        <v>32000</v>
      </c>
      <c r="M167" s="5">
        <f t="shared" si="2"/>
        <v>0.26666666666666666</v>
      </c>
    </row>
    <row r="168" spans="1:13" x14ac:dyDescent="0.3">
      <c r="A168" t="s">
        <v>446</v>
      </c>
      <c r="B168" t="s">
        <v>447</v>
      </c>
      <c r="C168" t="s">
        <v>45</v>
      </c>
      <c r="D168" t="s">
        <v>26</v>
      </c>
      <c r="E168" t="s">
        <v>21</v>
      </c>
      <c r="F168" t="s">
        <v>22</v>
      </c>
      <c r="G168">
        <v>7</v>
      </c>
      <c r="H168" s="3">
        <v>2000</v>
      </c>
      <c r="I168" s="3">
        <v>1200</v>
      </c>
      <c r="J168" s="3">
        <v>14000</v>
      </c>
      <c r="K168" s="3">
        <v>8400</v>
      </c>
      <c r="L168" s="3">
        <v>5600</v>
      </c>
      <c r="M168" s="5">
        <f t="shared" si="2"/>
        <v>0.4</v>
      </c>
    </row>
    <row r="169" spans="1:13" x14ac:dyDescent="0.3">
      <c r="A169" t="s">
        <v>149</v>
      </c>
      <c r="B169" t="s">
        <v>150</v>
      </c>
      <c r="C169" t="s">
        <v>45</v>
      </c>
      <c r="D169" t="s">
        <v>15</v>
      </c>
      <c r="E169" t="s">
        <v>46</v>
      </c>
      <c r="F169" t="s">
        <v>17</v>
      </c>
      <c r="G169">
        <v>4</v>
      </c>
      <c r="H169" s="3">
        <v>20000</v>
      </c>
      <c r="I169" s="3">
        <v>15000</v>
      </c>
      <c r="J169" s="3">
        <v>80000</v>
      </c>
      <c r="K169" s="3">
        <v>60000</v>
      </c>
      <c r="L169" s="3">
        <v>20000</v>
      </c>
      <c r="M169" s="5">
        <f t="shared" si="2"/>
        <v>0.25</v>
      </c>
    </row>
    <row r="170" spans="1:13" x14ac:dyDescent="0.3">
      <c r="A170" t="s">
        <v>247</v>
      </c>
      <c r="B170" t="s">
        <v>248</v>
      </c>
      <c r="C170" t="s">
        <v>45</v>
      </c>
      <c r="D170" t="s">
        <v>15</v>
      </c>
      <c r="E170" t="s">
        <v>16</v>
      </c>
      <c r="F170" t="s">
        <v>17</v>
      </c>
      <c r="G170">
        <v>6</v>
      </c>
      <c r="H170" s="3">
        <v>15000</v>
      </c>
      <c r="I170" s="3">
        <v>11000</v>
      </c>
      <c r="J170" s="3">
        <v>90000</v>
      </c>
      <c r="K170" s="3">
        <v>66000</v>
      </c>
      <c r="L170" s="3">
        <v>24000</v>
      </c>
      <c r="M170" s="5">
        <f t="shared" si="2"/>
        <v>0.26666666666666666</v>
      </c>
    </row>
    <row r="171" spans="1:13" x14ac:dyDescent="0.3">
      <c r="A171" t="s">
        <v>454</v>
      </c>
      <c r="B171" t="s">
        <v>248</v>
      </c>
      <c r="C171" t="s">
        <v>45</v>
      </c>
      <c r="D171" t="s">
        <v>36</v>
      </c>
      <c r="E171" t="s">
        <v>62</v>
      </c>
      <c r="F171" t="s">
        <v>17</v>
      </c>
      <c r="G171">
        <v>7</v>
      </c>
      <c r="H171" s="3">
        <v>50000</v>
      </c>
      <c r="I171" s="3">
        <v>40000</v>
      </c>
      <c r="J171" s="3">
        <v>350000</v>
      </c>
      <c r="K171" s="3">
        <v>280000</v>
      </c>
      <c r="L171" s="3">
        <v>70000</v>
      </c>
      <c r="M171" s="5">
        <f t="shared" si="2"/>
        <v>0.2</v>
      </c>
    </row>
    <row r="172" spans="1:13" x14ac:dyDescent="0.3">
      <c r="A172" t="s">
        <v>537</v>
      </c>
      <c r="B172" t="s">
        <v>248</v>
      </c>
      <c r="C172" t="s">
        <v>45</v>
      </c>
      <c r="D172" t="s">
        <v>36</v>
      </c>
      <c r="E172" t="s">
        <v>46</v>
      </c>
      <c r="F172" t="s">
        <v>17</v>
      </c>
      <c r="G172">
        <v>1</v>
      </c>
      <c r="H172" s="3">
        <v>20000</v>
      </c>
      <c r="I172" s="3">
        <v>15000</v>
      </c>
      <c r="J172" s="3">
        <v>20000</v>
      </c>
      <c r="K172" s="3">
        <v>15000</v>
      </c>
      <c r="L172" s="3">
        <v>5000</v>
      </c>
      <c r="M172" s="5">
        <f t="shared" si="2"/>
        <v>0.25</v>
      </c>
    </row>
    <row r="173" spans="1:13" x14ac:dyDescent="0.3">
      <c r="A173" t="s">
        <v>483</v>
      </c>
      <c r="B173" t="s">
        <v>484</v>
      </c>
      <c r="C173" t="s">
        <v>45</v>
      </c>
      <c r="D173" t="s">
        <v>26</v>
      </c>
      <c r="E173" t="s">
        <v>16</v>
      </c>
      <c r="F173" t="s">
        <v>17</v>
      </c>
      <c r="G173">
        <v>4</v>
      </c>
      <c r="H173" s="3">
        <v>15000</v>
      </c>
      <c r="I173" s="3">
        <v>11000</v>
      </c>
      <c r="J173" s="3">
        <v>60000</v>
      </c>
      <c r="K173" s="3">
        <v>44000</v>
      </c>
      <c r="L173" s="3">
        <v>16000</v>
      </c>
      <c r="M173" s="5">
        <f t="shared" si="2"/>
        <v>0.26666666666666666</v>
      </c>
    </row>
    <row r="174" spans="1:13" x14ac:dyDescent="0.3">
      <c r="A174" t="s">
        <v>467</v>
      </c>
      <c r="B174" t="s">
        <v>468</v>
      </c>
      <c r="C174" t="s">
        <v>45</v>
      </c>
      <c r="D174" t="s">
        <v>26</v>
      </c>
      <c r="E174" t="s">
        <v>21</v>
      </c>
      <c r="F174" t="s">
        <v>22</v>
      </c>
      <c r="G174">
        <v>4</v>
      </c>
      <c r="H174" s="3">
        <v>2000</v>
      </c>
      <c r="I174" s="3">
        <v>1200</v>
      </c>
      <c r="J174" s="3">
        <v>8000</v>
      </c>
      <c r="K174" s="3">
        <v>4800</v>
      </c>
      <c r="L174" s="3">
        <v>3200</v>
      </c>
      <c r="M174" s="5">
        <f t="shared" si="2"/>
        <v>0.4</v>
      </c>
    </row>
    <row r="175" spans="1:13" x14ac:dyDescent="0.3">
      <c r="A175" t="s">
        <v>43</v>
      </c>
      <c r="B175" t="s">
        <v>44</v>
      </c>
      <c r="C175" t="s">
        <v>45</v>
      </c>
      <c r="D175" t="s">
        <v>15</v>
      </c>
      <c r="E175" t="s">
        <v>46</v>
      </c>
      <c r="F175" t="s">
        <v>17</v>
      </c>
      <c r="G175">
        <v>5</v>
      </c>
      <c r="H175" s="3">
        <v>20000</v>
      </c>
      <c r="I175" s="3">
        <v>15000</v>
      </c>
      <c r="J175" s="3">
        <v>100000</v>
      </c>
      <c r="K175" s="3">
        <v>75000</v>
      </c>
      <c r="L175" s="3">
        <v>25000</v>
      </c>
      <c r="M175" s="5">
        <f t="shared" si="2"/>
        <v>0.25</v>
      </c>
    </row>
    <row r="176" spans="1:13" x14ac:dyDescent="0.3">
      <c r="A176" t="s">
        <v>436</v>
      </c>
      <c r="B176" t="s">
        <v>44</v>
      </c>
      <c r="C176" t="s">
        <v>45</v>
      </c>
      <c r="D176" t="s">
        <v>26</v>
      </c>
      <c r="E176" t="s">
        <v>21</v>
      </c>
      <c r="F176" t="s">
        <v>22</v>
      </c>
      <c r="G176">
        <v>3</v>
      </c>
      <c r="H176" s="3">
        <v>2000</v>
      </c>
      <c r="I176" s="3">
        <v>1200</v>
      </c>
      <c r="J176" s="3">
        <v>6000</v>
      </c>
      <c r="K176" s="3">
        <v>3600</v>
      </c>
      <c r="L176" s="3">
        <v>2400</v>
      </c>
      <c r="M176" s="5">
        <f t="shared" si="2"/>
        <v>0.4</v>
      </c>
    </row>
    <row r="177" spans="1:13" x14ac:dyDescent="0.3">
      <c r="A177" t="s">
        <v>503</v>
      </c>
      <c r="B177" t="s">
        <v>504</v>
      </c>
      <c r="C177" t="s">
        <v>45</v>
      </c>
      <c r="D177" t="s">
        <v>36</v>
      </c>
      <c r="E177" t="s">
        <v>16</v>
      </c>
      <c r="F177" t="s">
        <v>17</v>
      </c>
      <c r="G177">
        <v>7</v>
      </c>
      <c r="H177" s="3">
        <v>15000</v>
      </c>
      <c r="I177" s="3">
        <v>11000</v>
      </c>
      <c r="J177" s="3">
        <v>105000</v>
      </c>
      <c r="K177" s="3">
        <v>77000</v>
      </c>
      <c r="L177" s="3">
        <v>28000</v>
      </c>
      <c r="M177" s="5">
        <f t="shared" si="2"/>
        <v>0.26666666666666666</v>
      </c>
    </row>
    <row r="178" spans="1:13" x14ac:dyDescent="0.3">
      <c r="A178" t="s">
        <v>602</v>
      </c>
      <c r="B178" t="s">
        <v>504</v>
      </c>
      <c r="C178" t="s">
        <v>45</v>
      </c>
      <c r="D178" t="s">
        <v>36</v>
      </c>
      <c r="E178" t="s">
        <v>16</v>
      </c>
      <c r="F178" t="s">
        <v>17</v>
      </c>
      <c r="G178">
        <v>8</v>
      </c>
      <c r="H178" s="3">
        <v>15000</v>
      </c>
      <c r="I178" s="3">
        <v>11000</v>
      </c>
      <c r="J178" s="3">
        <v>120000</v>
      </c>
      <c r="K178" s="3">
        <v>88000</v>
      </c>
      <c r="L178" s="3">
        <v>32000</v>
      </c>
      <c r="M178" s="5">
        <f t="shared" si="2"/>
        <v>0.26666666666666666</v>
      </c>
    </row>
    <row r="179" spans="1:13" x14ac:dyDescent="0.3">
      <c r="A179" t="s">
        <v>374</v>
      </c>
      <c r="B179" t="s">
        <v>375</v>
      </c>
      <c r="C179" t="s">
        <v>45</v>
      </c>
      <c r="D179" t="s">
        <v>15</v>
      </c>
      <c r="E179" t="s">
        <v>62</v>
      </c>
      <c r="F179" t="s">
        <v>17</v>
      </c>
      <c r="G179">
        <v>8</v>
      </c>
      <c r="H179" s="3">
        <v>50000</v>
      </c>
      <c r="I179" s="3">
        <v>40000</v>
      </c>
      <c r="J179" s="3">
        <v>400000</v>
      </c>
      <c r="K179" s="3">
        <v>320000</v>
      </c>
      <c r="L179" s="3">
        <v>80000</v>
      </c>
      <c r="M179" s="5">
        <f t="shared" si="2"/>
        <v>0.2</v>
      </c>
    </row>
    <row r="180" spans="1:13" x14ac:dyDescent="0.3">
      <c r="A180" t="s">
        <v>489</v>
      </c>
      <c r="B180" t="s">
        <v>490</v>
      </c>
      <c r="C180" t="s">
        <v>45</v>
      </c>
      <c r="D180" t="s">
        <v>15</v>
      </c>
      <c r="E180" t="s">
        <v>21</v>
      </c>
      <c r="F180" t="s">
        <v>22</v>
      </c>
      <c r="G180">
        <v>3</v>
      </c>
      <c r="H180" s="3">
        <v>2000</v>
      </c>
      <c r="I180" s="3">
        <v>1200</v>
      </c>
      <c r="J180" s="3">
        <v>6000</v>
      </c>
      <c r="K180" s="3">
        <v>3600</v>
      </c>
      <c r="L180" s="3">
        <v>2400</v>
      </c>
      <c r="M180" s="5">
        <f t="shared" si="2"/>
        <v>0.4</v>
      </c>
    </row>
    <row r="181" spans="1:13" x14ac:dyDescent="0.3">
      <c r="A181" t="s">
        <v>161</v>
      </c>
      <c r="B181" t="s">
        <v>162</v>
      </c>
      <c r="C181" t="s">
        <v>45</v>
      </c>
      <c r="D181" t="s">
        <v>36</v>
      </c>
      <c r="E181" t="s">
        <v>46</v>
      </c>
      <c r="F181" t="s">
        <v>17</v>
      </c>
      <c r="G181">
        <v>2</v>
      </c>
      <c r="H181" s="3">
        <v>20000</v>
      </c>
      <c r="I181" s="3">
        <v>15000</v>
      </c>
      <c r="J181" s="3">
        <v>40000</v>
      </c>
      <c r="K181" s="3">
        <v>30000</v>
      </c>
      <c r="L181" s="3">
        <v>10000</v>
      </c>
      <c r="M181" s="5">
        <f t="shared" si="2"/>
        <v>0.25</v>
      </c>
    </row>
    <row r="182" spans="1:13" x14ac:dyDescent="0.3">
      <c r="A182" t="s">
        <v>257</v>
      </c>
      <c r="B182" t="s">
        <v>258</v>
      </c>
      <c r="C182" t="s">
        <v>45</v>
      </c>
      <c r="D182" t="s">
        <v>15</v>
      </c>
      <c r="E182" t="s">
        <v>27</v>
      </c>
      <c r="F182" t="s">
        <v>17</v>
      </c>
      <c r="G182">
        <v>2</v>
      </c>
      <c r="H182" s="3">
        <v>30000</v>
      </c>
      <c r="I182" s="3">
        <v>24000</v>
      </c>
      <c r="J182" s="3">
        <v>60000</v>
      </c>
      <c r="K182" s="3">
        <v>48000</v>
      </c>
      <c r="L182" s="3">
        <v>12000</v>
      </c>
      <c r="M182" s="5">
        <f t="shared" si="2"/>
        <v>0.2</v>
      </c>
    </row>
    <row r="183" spans="1:13" x14ac:dyDescent="0.3">
      <c r="A183" t="s">
        <v>426</v>
      </c>
      <c r="B183" t="s">
        <v>258</v>
      </c>
      <c r="C183" t="s">
        <v>45</v>
      </c>
      <c r="D183" t="s">
        <v>31</v>
      </c>
      <c r="E183" t="s">
        <v>16</v>
      </c>
      <c r="F183" t="s">
        <v>17</v>
      </c>
      <c r="G183">
        <v>9</v>
      </c>
      <c r="H183" s="3">
        <v>15000</v>
      </c>
      <c r="I183" s="3">
        <v>11000</v>
      </c>
      <c r="J183" s="3">
        <v>135000</v>
      </c>
      <c r="K183" s="3">
        <v>99000</v>
      </c>
      <c r="L183" s="3">
        <v>36000</v>
      </c>
      <c r="M183" s="5">
        <f t="shared" si="2"/>
        <v>0.26666666666666666</v>
      </c>
    </row>
    <row r="184" spans="1:13" x14ac:dyDescent="0.3">
      <c r="A184" t="s">
        <v>388</v>
      </c>
      <c r="B184" t="s">
        <v>389</v>
      </c>
      <c r="C184" t="s">
        <v>45</v>
      </c>
      <c r="D184" t="s">
        <v>15</v>
      </c>
      <c r="E184" t="s">
        <v>16</v>
      </c>
      <c r="F184" t="s">
        <v>17</v>
      </c>
      <c r="G184">
        <v>10</v>
      </c>
      <c r="H184" s="3">
        <v>15000</v>
      </c>
      <c r="I184" s="3">
        <v>11000</v>
      </c>
      <c r="J184" s="3">
        <v>150000</v>
      </c>
      <c r="K184" s="3">
        <v>110000</v>
      </c>
      <c r="L184" s="3">
        <v>40000</v>
      </c>
      <c r="M184" s="5">
        <f t="shared" si="2"/>
        <v>0.26666666666666666</v>
      </c>
    </row>
    <row r="185" spans="1:13" x14ac:dyDescent="0.3">
      <c r="A185" t="s">
        <v>622</v>
      </c>
      <c r="B185" t="s">
        <v>389</v>
      </c>
      <c r="C185" t="s">
        <v>45</v>
      </c>
      <c r="D185" t="s">
        <v>31</v>
      </c>
      <c r="E185" t="s">
        <v>46</v>
      </c>
      <c r="F185" t="s">
        <v>17</v>
      </c>
      <c r="G185">
        <v>7</v>
      </c>
      <c r="H185" s="3">
        <v>20000</v>
      </c>
      <c r="I185" s="3">
        <v>15000</v>
      </c>
      <c r="J185" s="3">
        <v>140000</v>
      </c>
      <c r="K185" s="3">
        <v>105000</v>
      </c>
      <c r="L185" s="3">
        <v>35000</v>
      </c>
      <c r="M185" s="5">
        <f t="shared" si="2"/>
        <v>0.25</v>
      </c>
    </row>
    <row r="186" spans="1:13" x14ac:dyDescent="0.3">
      <c r="A186" t="s">
        <v>668</v>
      </c>
      <c r="B186" t="s">
        <v>669</v>
      </c>
      <c r="C186" t="s">
        <v>45</v>
      </c>
      <c r="D186" t="s">
        <v>15</v>
      </c>
      <c r="E186" t="s">
        <v>16</v>
      </c>
      <c r="F186" t="s">
        <v>17</v>
      </c>
      <c r="G186">
        <v>3</v>
      </c>
      <c r="H186" s="3">
        <v>15000</v>
      </c>
      <c r="I186" s="3">
        <v>11000</v>
      </c>
      <c r="J186" s="3">
        <v>45000</v>
      </c>
      <c r="K186" s="3">
        <v>33000</v>
      </c>
      <c r="L186" s="3">
        <v>12000</v>
      </c>
      <c r="M186" s="5">
        <f t="shared" si="2"/>
        <v>0.26666666666666666</v>
      </c>
    </row>
    <row r="187" spans="1:13" x14ac:dyDescent="0.3">
      <c r="A187" t="s">
        <v>47</v>
      </c>
      <c r="B187" t="s">
        <v>48</v>
      </c>
      <c r="C187" t="s">
        <v>45</v>
      </c>
      <c r="D187" t="s">
        <v>26</v>
      </c>
      <c r="E187" t="s">
        <v>27</v>
      </c>
      <c r="F187" t="s">
        <v>17</v>
      </c>
      <c r="G187">
        <v>4</v>
      </c>
      <c r="H187" s="3">
        <v>30000</v>
      </c>
      <c r="I187" s="3">
        <v>24000</v>
      </c>
      <c r="J187" s="3">
        <v>120000</v>
      </c>
      <c r="K187" s="3">
        <v>96000</v>
      </c>
      <c r="L187" s="3">
        <v>24000</v>
      </c>
      <c r="M187" s="5">
        <f t="shared" si="2"/>
        <v>0.2</v>
      </c>
    </row>
    <row r="188" spans="1:13" x14ac:dyDescent="0.3">
      <c r="A188" t="s">
        <v>57</v>
      </c>
      <c r="B188" t="s">
        <v>48</v>
      </c>
      <c r="C188" t="s">
        <v>45</v>
      </c>
      <c r="D188" t="s">
        <v>36</v>
      </c>
      <c r="E188" t="s">
        <v>21</v>
      </c>
      <c r="F188" t="s">
        <v>22</v>
      </c>
      <c r="G188">
        <v>7</v>
      </c>
      <c r="H188" s="3">
        <v>2000</v>
      </c>
      <c r="I188" s="3">
        <v>1200</v>
      </c>
      <c r="J188" s="3">
        <v>14000</v>
      </c>
      <c r="K188" s="3">
        <v>8400</v>
      </c>
      <c r="L188" s="3">
        <v>5600</v>
      </c>
      <c r="M188" s="5">
        <f t="shared" si="2"/>
        <v>0.4</v>
      </c>
    </row>
    <row r="189" spans="1:13" x14ac:dyDescent="0.3">
      <c r="A189" t="s">
        <v>619</v>
      </c>
      <c r="B189" t="s">
        <v>48</v>
      </c>
      <c r="C189" t="s">
        <v>45</v>
      </c>
      <c r="D189" t="s">
        <v>26</v>
      </c>
      <c r="E189" t="s">
        <v>27</v>
      </c>
      <c r="F189" t="s">
        <v>17</v>
      </c>
      <c r="G189">
        <v>6</v>
      </c>
      <c r="H189" s="3">
        <v>30000</v>
      </c>
      <c r="I189" s="3">
        <v>24000</v>
      </c>
      <c r="J189" s="3">
        <v>180000</v>
      </c>
      <c r="K189" s="3">
        <v>144000</v>
      </c>
      <c r="L189" s="3">
        <v>36000</v>
      </c>
      <c r="M189" s="5">
        <f t="shared" si="2"/>
        <v>0.2</v>
      </c>
    </row>
    <row r="190" spans="1:13" x14ac:dyDescent="0.3">
      <c r="A190" t="s">
        <v>591</v>
      </c>
      <c r="B190" t="s">
        <v>592</v>
      </c>
      <c r="C190" t="s">
        <v>45</v>
      </c>
      <c r="D190" t="s">
        <v>15</v>
      </c>
      <c r="E190" t="s">
        <v>16</v>
      </c>
      <c r="F190" t="s">
        <v>17</v>
      </c>
      <c r="G190">
        <v>4</v>
      </c>
      <c r="H190" s="3">
        <v>15000</v>
      </c>
      <c r="I190" s="3">
        <v>11000</v>
      </c>
      <c r="J190" s="3">
        <v>60000</v>
      </c>
      <c r="K190" s="3">
        <v>44000</v>
      </c>
      <c r="L190" s="3">
        <v>16000</v>
      </c>
      <c r="M190" s="5">
        <f t="shared" si="2"/>
        <v>0.26666666666666666</v>
      </c>
    </row>
    <row r="191" spans="1:13" x14ac:dyDescent="0.3">
      <c r="A191" t="s">
        <v>528</v>
      </c>
      <c r="B191" t="s">
        <v>529</v>
      </c>
      <c r="C191" t="s">
        <v>45</v>
      </c>
      <c r="D191" t="s">
        <v>15</v>
      </c>
      <c r="E191" t="s">
        <v>16</v>
      </c>
      <c r="F191" t="s">
        <v>17</v>
      </c>
      <c r="G191">
        <v>3</v>
      </c>
      <c r="H191" s="3">
        <v>15000</v>
      </c>
      <c r="I191" s="3">
        <v>11000</v>
      </c>
      <c r="J191" s="3">
        <v>45000</v>
      </c>
      <c r="K191" s="3">
        <v>33000</v>
      </c>
      <c r="L191" s="3">
        <v>12000</v>
      </c>
      <c r="M191" s="5">
        <f t="shared" si="2"/>
        <v>0.26666666666666666</v>
      </c>
    </row>
    <row r="192" spans="1:13" x14ac:dyDescent="0.3">
      <c r="A192" t="s">
        <v>227</v>
      </c>
      <c r="B192" t="s">
        <v>228</v>
      </c>
      <c r="C192" t="s">
        <v>51</v>
      </c>
      <c r="D192" t="s">
        <v>15</v>
      </c>
      <c r="E192" t="s">
        <v>46</v>
      </c>
      <c r="F192" t="s">
        <v>17</v>
      </c>
      <c r="G192">
        <v>10</v>
      </c>
      <c r="H192" s="3">
        <v>20000</v>
      </c>
      <c r="I192" s="3">
        <v>15000</v>
      </c>
      <c r="J192" s="3">
        <v>200000</v>
      </c>
      <c r="K192" s="3">
        <v>150000</v>
      </c>
      <c r="L192" s="3">
        <v>50000</v>
      </c>
      <c r="M192" s="5">
        <f t="shared" si="2"/>
        <v>0.25</v>
      </c>
    </row>
    <row r="193" spans="1:13" x14ac:dyDescent="0.3">
      <c r="A193" t="s">
        <v>269</v>
      </c>
      <c r="B193" t="s">
        <v>270</v>
      </c>
      <c r="C193" t="s">
        <v>51</v>
      </c>
      <c r="D193" t="s">
        <v>15</v>
      </c>
      <c r="E193" t="s">
        <v>62</v>
      </c>
      <c r="F193" t="s">
        <v>17</v>
      </c>
      <c r="G193">
        <v>7</v>
      </c>
      <c r="H193" s="3">
        <v>50000</v>
      </c>
      <c r="I193" s="3">
        <v>40000</v>
      </c>
      <c r="J193" s="3">
        <v>350000</v>
      </c>
      <c r="K193" s="3">
        <v>280000</v>
      </c>
      <c r="L193" s="3">
        <v>70000</v>
      </c>
      <c r="M193" s="5">
        <f t="shared" si="2"/>
        <v>0.2</v>
      </c>
    </row>
    <row r="194" spans="1:13" x14ac:dyDescent="0.3">
      <c r="A194" t="s">
        <v>108</v>
      </c>
      <c r="B194" t="s">
        <v>109</v>
      </c>
      <c r="C194" t="s">
        <v>51</v>
      </c>
      <c r="D194" t="s">
        <v>31</v>
      </c>
      <c r="E194" t="s">
        <v>62</v>
      </c>
      <c r="F194" t="s">
        <v>17</v>
      </c>
      <c r="G194">
        <v>2</v>
      </c>
      <c r="H194" s="3">
        <v>50000</v>
      </c>
      <c r="I194" s="3">
        <v>40000</v>
      </c>
      <c r="J194" s="3">
        <v>100000</v>
      </c>
      <c r="K194" s="3">
        <v>80000</v>
      </c>
      <c r="L194" s="3">
        <v>20000</v>
      </c>
      <c r="M194" s="5">
        <f t="shared" si="2"/>
        <v>0.2</v>
      </c>
    </row>
    <row r="195" spans="1:13" x14ac:dyDescent="0.3">
      <c r="A195" t="s">
        <v>243</v>
      </c>
      <c r="B195" t="s">
        <v>109</v>
      </c>
      <c r="C195" t="s">
        <v>51</v>
      </c>
      <c r="D195" t="s">
        <v>26</v>
      </c>
      <c r="E195" t="s">
        <v>21</v>
      </c>
      <c r="F195" t="s">
        <v>22</v>
      </c>
      <c r="G195">
        <v>2</v>
      </c>
      <c r="H195" s="3">
        <v>2000</v>
      </c>
      <c r="I195" s="3">
        <v>1200</v>
      </c>
      <c r="J195" s="3">
        <v>4000</v>
      </c>
      <c r="K195" s="3">
        <v>2400</v>
      </c>
      <c r="L195" s="3">
        <v>1600</v>
      </c>
      <c r="M195" s="5">
        <f t="shared" ref="M195:M258" si="3">L195/J195</f>
        <v>0.4</v>
      </c>
    </row>
    <row r="196" spans="1:13" x14ac:dyDescent="0.3">
      <c r="A196" t="s">
        <v>317</v>
      </c>
      <c r="B196" t="s">
        <v>109</v>
      </c>
      <c r="C196" t="s">
        <v>51</v>
      </c>
      <c r="D196" t="s">
        <v>26</v>
      </c>
      <c r="E196" t="s">
        <v>46</v>
      </c>
      <c r="F196" t="s">
        <v>17</v>
      </c>
      <c r="G196">
        <v>1</v>
      </c>
      <c r="H196" s="3">
        <v>20000</v>
      </c>
      <c r="I196" s="3">
        <v>15000</v>
      </c>
      <c r="J196" s="3">
        <v>20000</v>
      </c>
      <c r="K196" s="3">
        <v>15000</v>
      </c>
      <c r="L196" s="3">
        <v>5000</v>
      </c>
      <c r="M196" s="5">
        <f t="shared" si="3"/>
        <v>0.25</v>
      </c>
    </row>
    <row r="197" spans="1:13" x14ac:dyDescent="0.3">
      <c r="A197" t="s">
        <v>637</v>
      </c>
      <c r="B197" t="s">
        <v>109</v>
      </c>
      <c r="C197" t="s">
        <v>51</v>
      </c>
      <c r="D197" t="s">
        <v>26</v>
      </c>
      <c r="E197" t="s">
        <v>62</v>
      </c>
      <c r="F197" t="s">
        <v>17</v>
      </c>
      <c r="G197">
        <v>3</v>
      </c>
      <c r="H197" s="3">
        <v>50000</v>
      </c>
      <c r="I197" s="3">
        <v>40000</v>
      </c>
      <c r="J197" s="3">
        <v>150000</v>
      </c>
      <c r="K197" s="3">
        <v>120000</v>
      </c>
      <c r="L197" s="3">
        <v>30000</v>
      </c>
      <c r="M197" s="5">
        <f t="shared" si="3"/>
        <v>0.2</v>
      </c>
    </row>
    <row r="198" spans="1:13" x14ac:dyDescent="0.3">
      <c r="A198" t="s">
        <v>170</v>
      </c>
      <c r="B198" t="s">
        <v>171</v>
      </c>
      <c r="C198" t="s">
        <v>51</v>
      </c>
      <c r="D198" t="s">
        <v>31</v>
      </c>
      <c r="E198" t="s">
        <v>27</v>
      </c>
      <c r="F198" t="s">
        <v>17</v>
      </c>
      <c r="G198">
        <v>2</v>
      </c>
      <c r="H198" s="3">
        <v>30000</v>
      </c>
      <c r="I198" s="3">
        <v>24000</v>
      </c>
      <c r="J198" s="3">
        <v>60000</v>
      </c>
      <c r="K198" s="3">
        <v>48000</v>
      </c>
      <c r="L198" s="3">
        <v>12000</v>
      </c>
      <c r="M198" s="5">
        <f t="shared" si="3"/>
        <v>0.2</v>
      </c>
    </row>
    <row r="199" spans="1:13" x14ac:dyDescent="0.3">
      <c r="A199" t="s">
        <v>594</v>
      </c>
      <c r="B199" t="s">
        <v>171</v>
      </c>
      <c r="C199" t="s">
        <v>51</v>
      </c>
      <c r="D199" t="s">
        <v>31</v>
      </c>
      <c r="E199" t="s">
        <v>27</v>
      </c>
      <c r="F199" t="s">
        <v>17</v>
      </c>
      <c r="G199">
        <v>7</v>
      </c>
      <c r="H199" s="3">
        <v>30000</v>
      </c>
      <c r="I199" s="3">
        <v>24000</v>
      </c>
      <c r="J199" s="3">
        <v>210000</v>
      </c>
      <c r="K199" s="3">
        <v>168000</v>
      </c>
      <c r="L199" s="3">
        <v>42000</v>
      </c>
      <c r="M199" s="5">
        <f t="shared" si="3"/>
        <v>0.2</v>
      </c>
    </row>
    <row r="200" spans="1:13" x14ac:dyDescent="0.3">
      <c r="A200" t="s">
        <v>377</v>
      </c>
      <c r="B200" t="s">
        <v>378</v>
      </c>
      <c r="C200" t="s">
        <v>51</v>
      </c>
      <c r="D200" t="s">
        <v>15</v>
      </c>
      <c r="E200" t="s">
        <v>62</v>
      </c>
      <c r="F200" t="s">
        <v>17</v>
      </c>
      <c r="G200">
        <v>5</v>
      </c>
      <c r="H200" s="3">
        <v>50000</v>
      </c>
      <c r="I200" s="3">
        <v>40000</v>
      </c>
      <c r="J200" s="3">
        <v>250000</v>
      </c>
      <c r="K200" s="3">
        <v>200000</v>
      </c>
      <c r="L200" s="3">
        <v>50000</v>
      </c>
      <c r="M200" s="5">
        <f t="shared" si="3"/>
        <v>0.2</v>
      </c>
    </row>
    <row r="201" spans="1:13" x14ac:dyDescent="0.3">
      <c r="A201" t="s">
        <v>442</v>
      </c>
      <c r="B201" t="s">
        <v>378</v>
      </c>
      <c r="C201" t="s">
        <v>51</v>
      </c>
      <c r="D201" t="s">
        <v>31</v>
      </c>
      <c r="E201" t="s">
        <v>27</v>
      </c>
      <c r="F201" t="s">
        <v>17</v>
      </c>
      <c r="G201">
        <v>8</v>
      </c>
      <c r="H201" s="3">
        <v>30000</v>
      </c>
      <c r="I201" s="3">
        <v>24000</v>
      </c>
      <c r="J201" s="3">
        <v>240000</v>
      </c>
      <c r="K201" s="3">
        <v>192000</v>
      </c>
      <c r="L201" s="3">
        <v>48000</v>
      </c>
      <c r="M201" s="5">
        <f t="shared" si="3"/>
        <v>0.2</v>
      </c>
    </row>
    <row r="202" spans="1:13" x14ac:dyDescent="0.3">
      <c r="A202" t="s">
        <v>607</v>
      </c>
      <c r="B202" t="s">
        <v>378</v>
      </c>
      <c r="C202" t="s">
        <v>51</v>
      </c>
      <c r="D202" t="s">
        <v>26</v>
      </c>
      <c r="E202" t="s">
        <v>16</v>
      </c>
      <c r="F202" t="s">
        <v>17</v>
      </c>
      <c r="G202">
        <v>6</v>
      </c>
      <c r="H202" s="3">
        <v>15000</v>
      </c>
      <c r="I202" s="3">
        <v>11000</v>
      </c>
      <c r="J202" s="3">
        <v>90000</v>
      </c>
      <c r="K202" s="3">
        <v>66000</v>
      </c>
      <c r="L202" s="3">
        <v>24000</v>
      </c>
      <c r="M202" s="5">
        <f t="shared" si="3"/>
        <v>0.26666666666666666</v>
      </c>
    </row>
    <row r="203" spans="1:13" x14ac:dyDescent="0.3">
      <c r="A203" t="s">
        <v>475</v>
      </c>
      <c r="B203" t="s">
        <v>476</v>
      </c>
      <c r="C203" t="s">
        <v>51</v>
      </c>
      <c r="D203" t="s">
        <v>26</v>
      </c>
      <c r="E203" t="s">
        <v>27</v>
      </c>
      <c r="F203" t="s">
        <v>17</v>
      </c>
      <c r="G203">
        <v>10</v>
      </c>
      <c r="H203" s="3">
        <v>30000</v>
      </c>
      <c r="I203" s="3">
        <v>24000</v>
      </c>
      <c r="J203" s="3">
        <v>300000</v>
      </c>
      <c r="K203" s="3">
        <v>240000</v>
      </c>
      <c r="L203" s="3">
        <v>60000</v>
      </c>
      <c r="M203" s="5">
        <f t="shared" si="3"/>
        <v>0.2</v>
      </c>
    </row>
    <row r="204" spans="1:13" x14ac:dyDescent="0.3">
      <c r="A204" t="s">
        <v>93</v>
      </c>
      <c r="B204" t="s">
        <v>94</v>
      </c>
      <c r="C204" t="s">
        <v>51</v>
      </c>
      <c r="D204" t="s">
        <v>36</v>
      </c>
      <c r="E204" t="s">
        <v>62</v>
      </c>
      <c r="F204" t="s">
        <v>17</v>
      </c>
      <c r="G204">
        <v>5</v>
      </c>
      <c r="H204" s="3">
        <v>50000</v>
      </c>
      <c r="I204" s="3">
        <v>40000</v>
      </c>
      <c r="J204" s="3">
        <v>250000</v>
      </c>
      <c r="K204" s="3">
        <v>200000</v>
      </c>
      <c r="L204" s="3">
        <v>50000</v>
      </c>
      <c r="M204" s="5">
        <f t="shared" si="3"/>
        <v>0.2</v>
      </c>
    </row>
    <row r="205" spans="1:13" x14ac:dyDescent="0.3">
      <c r="A205" t="s">
        <v>287</v>
      </c>
      <c r="B205" t="s">
        <v>94</v>
      </c>
      <c r="C205" t="s">
        <v>51</v>
      </c>
      <c r="D205" t="s">
        <v>31</v>
      </c>
      <c r="E205" t="s">
        <v>27</v>
      </c>
      <c r="F205" t="s">
        <v>17</v>
      </c>
      <c r="G205">
        <v>7</v>
      </c>
      <c r="H205" s="3">
        <v>30000</v>
      </c>
      <c r="I205" s="3">
        <v>24000</v>
      </c>
      <c r="J205" s="3">
        <v>210000</v>
      </c>
      <c r="K205" s="3">
        <v>168000</v>
      </c>
      <c r="L205" s="3">
        <v>42000</v>
      </c>
      <c r="M205" s="5">
        <f t="shared" si="3"/>
        <v>0.2</v>
      </c>
    </row>
    <row r="206" spans="1:13" x14ac:dyDescent="0.3">
      <c r="A206" t="s">
        <v>573</v>
      </c>
      <c r="B206" t="s">
        <v>94</v>
      </c>
      <c r="C206" t="s">
        <v>51</v>
      </c>
      <c r="D206" t="s">
        <v>15</v>
      </c>
      <c r="E206" t="s">
        <v>21</v>
      </c>
      <c r="F206" t="s">
        <v>22</v>
      </c>
      <c r="G206">
        <v>6</v>
      </c>
      <c r="H206" s="3">
        <v>2000</v>
      </c>
      <c r="I206" s="3">
        <v>1200</v>
      </c>
      <c r="J206" s="3">
        <v>12000</v>
      </c>
      <c r="K206" s="3">
        <v>7200</v>
      </c>
      <c r="L206" s="3">
        <v>4800</v>
      </c>
      <c r="M206" s="5">
        <f t="shared" si="3"/>
        <v>0.4</v>
      </c>
    </row>
    <row r="207" spans="1:13" x14ac:dyDescent="0.3">
      <c r="A207" t="s">
        <v>457</v>
      </c>
      <c r="B207" t="s">
        <v>458</v>
      </c>
      <c r="C207" t="s">
        <v>51</v>
      </c>
      <c r="D207" t="s">
        <v>26</v>
      </c>
      <c r="E207" t="s">
        <v>16</v>
      </c>
      <c r="F207" t="s">
        <v>17</v>
      </c>
      <c r="G207">
        <v>8</v>
      </c>
      <c r="H207" s="3">
        <v>15000</v>
      </c>
      <c r="I207" s="3">
        <v>11000</v>
      </c>
      <c r="J207" s="3">
        <v>120000</v>
      </c>
      <c r="K207" s="3">
        <v>88000</v>
      </c>
      <c r="L207" s="3">
        <v>32000</v>
      </c>
      <c r="M207" s="5">
        <f t="shared" si="3"/>
        <v>0.26666666666666666</v>
      </c>
    </row>
    <row r="208" spans="1:13" x14ac:dyDescent="0.3">
      <c r="A208" t="s">
        <v>185</v>
      </c>
      <c r="B208" t="s">
        <v>186</v>
      </c>
      <c r="C208" t="s">
        <v>51</v>
      </c>
      <c r="D208" t="s">
        <v>36</v>
      </c>
      <c r="E208" t="s">
        <v>46</v>
      </c>
      <c r="F208" t="s">
        <v>17</v>
      </c>
      <c r="G208">
        <v>10</v>
      </c>
      <c r="H208" s="3">
        <v>20000</v>
      </c>
      <c r="I208" s="3">
        <v>15000</v>
      </c>
      <c r="J208" s="3">
        <v>200000</v>
      </c>
      <c r="K208" s="3">
        <v>150000</v>
      </c>
      <c r="L208" s="3">
        <v>50000</v>
      </c>
      <c r="M208" s="5">
        <f t="shared" si="3"/>
        <v>0.25</v>
      </c>
    </row>
    <row r="209" spans="1:13" x14ac:dyDescent="0.3">
      <c r="A209" t="s">
        <v>307</v>
      </c>
      <c r="B209" t="s">
        <v>186</v>
      </c>
      <c r="C209" t="s">
        <v>51</v>
      </c>
      <c r="D209" t="s">
        <v>31</v>
      </c>
      <c r="E209" t="s">
        <v>46</v>
      </c>
      <c r="F209" t="s">
        <v>17</v>
      </c>
      <c r="G209">
        <v>5</v>
      </c>
      <c r="H209" s="3">
        <v>20000</v>
      </c>
      <c r="I209" s="3">
        <v>15000</v>
      </c>
      <c r="J209" s="3">
        <v>100000</v>
      </c>
      <c r="K209" s="3">
        <v>75000</v>
      </c>
      <c r="L209" s="3">
        <v>25000</v>
      </c>
      <c r="M209" s="5">
        <f t="shared" si="3"/>
        <v>0.25</v>
      </c>
    </row>
    <row r="210" spans="1:13" x14ac:dyDescent="0.3">
      <c r="A210" t="s">
        <v>527</v>
      </c>
      <c r="B210" t="s">
        <v>186</v>
      </c>
      <c r="C210" t="s">
        <v>51</v>
      </c>
      <c r="D210" t="s">
        <v>31</v>
      </c>
      <c r="E210" t="s">
        <v>16</v>
      </c>
      <c r="F210" t="s">
        <v>17</v>
      </c>
      <c r="G210">
        <v>8</v>
      </c>
      <c r="H210" s="3">
        <v>15000</v>
      </c>
      <c r="I210" s="3">
        <v>11000</v>
      </c>
      <c r="J210" s="3">
        <v>120000</v>
      </c>
      <c r="K210" s="3">
        <v>88000</v>
      </c>
      <c r="L210" s="3">
        <v>32000</v>
      </c>
      <c r="M210" s="5">
        <f t="shared" si="3"/>
        <v>0.26666666666666666</v>
      </c>
    </row>
    <row r="211" spans="1:13" x14ac:dyDescent="0.3">
      <c r="A211" t="s">
        <v>415</v>
      </c>
      <c r="B211" t="s">
        <v>416</v>
      </c>
      <c r="C211" t="s">
        <v>51</v>
      </c>
      <c r="D211" t="s">
        <v>26</v>
      </c>
      <c r="E211" t="s">
        <v>46</v>
      </c>
      <c r="F211" t="s">
        <v>17</v>
      </c>
      <c r="G211">
        <v>9</v>
      </c>
      <c r="H211" s="3">
        <v>20000</v>
      </c>
      <c r="I211" s="3">
        <v>15000</v>
      </c>
      <c r="J211" s="3">
        <v>180000</v>
      </c>
      <c r="K211" s="3">
        <v>135000</v>
      </c>
      <c r="L211" s="3">
        <v>45000</v>
      </c>
      <c r="M211" s="5">
        <f t="shared" si="3"/>
        <v>0.25</v>
      </c>
    </row>
    <row r="212" spans="1:13" x14ac:dyDescent="0.3">
      <c r="A212" t="s">
        <v>72</v>
      </c>
      <c r="B212" t="s">
        <v>73</v>
      </c>
      <c r="C212" t="s">
        <v>51</v>
      </c>
      <c r="D212" t="s">
        <v>36</v>
      </c>
      <c r="E212" t="s">
        <v>27</v>
      </c>
      <c r="F212" t="s">
        <v>17</v>
      </c>
      <c r="G212">
        <v>6</v>
      </c>
      <c r="H212" s="3">
        <v>30000</v>
      </c>
      <c r="I212" s="3">
        <v>24000</v>
      </c>
      <c r="J212" s="3">
        <v>180000</v>
      </c>
      <c r="K212" s="3">
        <v>144000</v>
      </c>
      <c r="L212" s="3">
        <v>36000</v>
      </c>
      <c r="M212" s="5">
        <f t="shared" si="3"/>
        <v>0.2</v>
      </c>
    </row>
    <row r="213" spans="1:13" x14ac:dyDescent="0.3">
      <c r="A213" t="s">
        <v>189</v>
      </c>
      <c r="B213" t="s">
        <v>73</v>
      </c>
      <c r="C213" t="s">
        <v>51</v>
      </c>
      <c r="D213" t="s">
        <v>15</v>
      </c>
      <c r="E213" t="s">
        <v>46</v>
      </c>
      <c r="F213" t="s">
        <v>17</v>
      </c>
      <c r="G213">
        <v>8</v>
      </c>
      <c r="H213" s="3">
        <v>20000</v>
      </c>
      <c r="I213" s="3">
        <v>15000</v>
      </c>
      <c r="J213" s="3">
        <v>160000</v>
      </c>
      <c r="K213" s="3">
        <v>120000</v>
      </c>
      <c r="L213" s="3">
        <v>40000</v>
      </c>
      <c r="M213" s="5">
        <f t="shared" si="3"/>
        <v>0.25</v>
      </c>
    </row>
    <row r="214" spans="1:13" x14ac:dyDescent="0.3">
      <c r="A214" t="s">
        <v>578</v>
      </c>
      <c r="B214" t="s">
        <v>579</v>
      </c>
      <c r="C214" t="s">
        <v>51</v>
      </c>
      <c r="D214" t="s">
        <v>36</v>
      </c>
      <c r="E214" t="s">
        <v>27</v>
      </c>
      <c r="F214" t="s">
        <v>17</v>
      </c>
      <c r="G214">
        <v>6</v>
      </c>
      <c r="H214" s="3">
        <v>30000</v>
      </c>
      <c r="I214" s="3">
        <v>24000</v>
      </c>
      <c r="J214" s="3">
        <v>180000</v>
      </c>
      <c r="K214" s="3">
        <v>144000</v>
      </c>
      <c r="L214" s="3">
        <v>36000</v>
      </c>
      <c r="M214" s="5">
        <f t="shared" si="3"/>
        <v>0.2</v>
      </c>
    </row>
    <row r="215" spans="1:13" x14ac:dyDescent="0.3">
      <c r="A215" t="s">
        <v>645</v>
      </c>
      <c r="B215" t="s">
        <v>579</v>
      </c>
      <c r="C215" t="s">
        <v>51</v>
      </c>
      <c r="D215" t="s">
        <v>26</v>
      </c>
      <c r="E215" t="s">
        <v>27</v>
      </c>
      <c r="F215" t="s">
        <v>17</v>
      </c>
      <c r="G215">
        <v>8</v>
      </c>
      <c r="H215" s="3">
        <v>30000</v>
      </c>
      <c r="I215" s="3">
        <v>24000</v>
      </c>
      <c r="J215" s="3">
        <v>240000</v>
      </c>
      <c r="K215" s="3">
        <v>192000</v>
      </c>
      <c r="L215" s="3">
        <v>48000</v>
      </c>
      <c r="M215" s="5">
        <f t="shared" si="3"/>
        <v>0.2</v>
      </c>
    </row>
    <row r="216" spans="1:13" x14ac:dyDescent="0.3">
      <c r="A216" t="s">
        <v>157</v>
      </c>
      <c r="B216" t="s">
        <v>158</v>
      </c>
      <c r="C216" t="s">
        <v>51</v>
      </c>
      <c r="D216" t="s">
        <v>31</v>
      </c>
      <c r="E216" t="s">
        <v>21</v>
      </c>
      <c r="F216" t="s">
        <v>22</v>
      </c>
      <c r="G216">
        <v>10</v>
      </c>
      <c r="H216" s="3">
        <v>2000</v>
      </c>
      <c r="I216" s="3">
        <v>1200</v>
      </c>
      <c r="J216" s="3">
        <v>20000</v>
      </c>
      <c r="K216" s="3">
        <v>12000</v>
      </c>
      <c r="L216" s="3">
        <v>8000</v>
      </c>
      <c r="M216" s="5">
        <f t="shared" si="3"/>
        <v>0.4</v>
      </c>
    </row>
    <row r="217" spans="1:13" x14ac:dyDescent="0.3">
      <c r="A217" t="s">
        <v>595</v>
      </c>
      <c r="B217" t="s">
        <v>596</v>
      </c>
      <c r="C217" t="s">
        <v>51</v>
      </c>
      <c r="D217" t="s">
        <v>15</v>
      </c>
      <c r="E217" t="s">
        <v>62</v>
      </c>
      <c r="F217" t="s">
        <v>17</v>
      </c>
      <c r="G217">
        <v>4</v>
      </c>
      <c r="H217" s="3">
        <v>50000</v>
      </c>
      <c r="I217" s="3">
        <v>40000</v>
      </c>
      <c r="J217" s="3">
        <v>200000</v>
      </c>
      <c r="K217" s="3">
        <v>160000</v>
      </c>
      <c r="L217" s="3">
        <v>40000</v>
      </c>
      <c r="M217" s="5">
        <f t="shared" si="3"/>
        <v>0.2</v>
      </c>
    </row>
    <row r="218" spans="1:13" x14ac:dyDescent="0.3">
      <c r="A218" t="s">
        <v>49</v>
      </c>
      <c r="B218" t="s">
        <v>50</v>
      </c>
      <c r="C218" t="s">
        <v>51</v>
      </c>
      <c r="D218" t="s">
        <v>26</v>
      </c>
      <c r="E218" t="s">
        <v>27</v>
      </c>
      <c r="F218" t="s">
        <v>17</v>
      </c>
      <c r="G218">
        <v>9</v>
      </c>
      <c r="H218" s="3">
        <v>30000</v>
      </c>
      <c r="I218" s="3">
        <v>24000</v>
      </c>
      <c r="J218" s="3">
        <v>270000</v>
      </c>
      <c r="K218" s="3">
        <v>216000</v>
      </c>
      <c r="L218" s="3">
        <v>54000</v>
      </c>
      <c r="M218" s="5">
        <f t="shared" si="3"/>
        <v>0.2</v>
      </c>
    </row>
    <row r="219" spans="1:13" x14ac:dyDescent="0.3">
      <c r="A219" t="s">
        <v>346</v>
      </c>
      <c r="B219" t="s">
        <v>50</v>
      </c>
      <c r="C219" t="s">
        <v>51</v>
      </c>
      <c r="D219" t="s">
        <v>36</v>
      </c>
      <c r="E219" t="s">
        <v>27</v>
      </c>
      <c r="F219" t="s">
        <v>17</v>
      </c>
      <c r="G219">
        <v>10</v>
      </c>
      <c r="H219" s="3">
        <v>30000</v>
      </c>
      <c r="I219" s="3">
        <v>24000</v>
      </c>
      <c r="J219" s="3">
        <v>300000</v>
      </c>
      <c r="K219" s="3">
        <v>240000</v>
      </c>
      <c r="L219" s="3">
        <v>60000</v>
      </c>
      <c r="M219" s="5">
        <f t="shared" si="3"/>
        <v>0.2</v>
      </c>
    </row>
    <row r="220" spans="1:13" x14ac:dyDescent="0.3">
      <c r="A220" t="s">
        <v>597</v>
      </c>
      <c r="B220" t="s">
        <v>50</v>
      </c>
      <c r="C220" t="s">
        <v>51</v>
      </c>
      <c r="D220" t="s">
        <v>31</v>
      </c>
      <c r="E220" t="s">
        <v>21</v>
      </c>
      <c r="F220" t="s">
        <v>22</v>
      </c>
      <c r="G220">
        <v>10</v>
      </c>
      <c r="H220" s="3">
        <v>2000</v>
      </c>
      <c r="I220" s="3">
        <v>1200</v>
      </c>
      <c r="J220" s="3">
        <v>20000</v>
      </c>
      <c r="K220" s="3">
        <v>12000</v>
      </c>
      <c r="L220" s="3">
        <v>8000</v>
      </c>
      <c r="M220" s="5">
        <f t="shared" si="3"/>
        <v>0.4</v>
      </c>
    </row>
    <row r="221" spans="1:13" x14ac:dyDescent="0.3">
      <c r="A221" t="s">
        <v>620</v>
      </c>
      <c r="B221" t="s">
        <v>50</v>
      </c>
      <c r="C221" t="s">
        <v>51</v>
      </c>
      <c r="D221" t="s">
        <v>36</v>
      </c>
      <c r="E221" t="s">
        <v>16</v>
      </c>
      <c r="F221" t="s">
        <v>17</v>
      </c>
      <c r="G221">
        <v>9</v>
      </c>
      <c r="H221" s="3">
        <v>15000</v>
      </c>
      <c r="I221" s="3">
        <v>11000</v>
      </c>
      <c r="J221" s="3">
        <v>135000</v>
      </c>
      <c r="K221" s="3">
        <v>99000</v>
      </c>
      <c r="L221" s="3">
        <v>36000</v>
      </c>
      <c r="M221" s="5">
        <f t="shared" si="3"/>
        <v>0.26666666666666666</v>
      </c>
    </row>
    <row r="222" spans="1:13" x14ac:dyDescent="0.3">
      <c r="A222" t="s">
        <v>302</v>
      </c>
      <c r="B222" t="s">
        <v>303</v>
      </c>
      <c r="C222" t="s">
        <v>51</v>
      </c>
      <c r="D222" t="s">
        <v>15</v>
      </c>
      <c r="E222" t="s">
        <v>27</v>
      </c>
      <c r="F222" t="s">
        <v>17</v>
      </c>
      <c r="G222">
        <v>3</v>
      </c>
      <c r="H222" s="3">
        <v>30000</v>
      </c>
      <c r="I222" s="3">
        <v>24000</v>
      </c>
      <c r="J222" s="3">
        <v>90000</v>
      </c>
      <c r="K222" s="3">
        <v>72000</v>
      </c>
      <c r="L222" s="3">
        <v>18000</v>
      </c>
      <c r="M222" s="5">
        <f t="shared" si="3"/>
        <v>0.2</v>
      </c>
    </row>
    <row r="223" spans="1:13" x14ac:dyDescent="0.3">
      <c r="A223" t="s">
        <v>404</v>
      </c>
      <c r="B223" t="s">
        <v>303</v>
      </c>
      <c r="C223" t="s">
        <v>51</v>
      </c>
      <c r="D223" t="s">
        <v>15</v>
      </c>
      <c r="E223" t="s">
        <v>16</v>
      </c>
      <c r="F223" t="s">
        <v>17</v>
      </c>
      <c r="G223">
        <v>3</v>
      </c>
      <c r="H223" s="3">
        <v>15000</v>
      </c>
      <c r="I223" s="3">
        <v>11000</v>
      </c>
      <c r="J223" s="3">
        <v>45000</v>
      </c>
      <c r="K223" s="3">
        <v>33000</v>
      </c>
      <c r="L223" s="3">
        <v>12000</v>
      </c>
      <c r="M223" s="5">
        <f t="shared" si="3"/>
        <v>0.26666666666666666</v>
      </c>
    </row>
    <row r="224" spans="1:13" x14ac:dyDescent="0.3">
      <c r="A224" t="s">
        <v>18</v>
      </c>
      <c r="B224" t="s">
        <v>19</v>
      </c>
      <c r="C224" t="s">
        <v>20</v>
      </c>
      <c r="D224" t="s">
        <v>15</v>
      </c>
      <c r="E224" t="s">
        <v>21</v>
      </c>
      <c r="F224" t="s">
        <v>22</v>
      </c>
      <c r="G224">
        <v>10</v>
      </c>
      <c r="H224" s="3">
        <v>2000</v>
      </c>
      <c r="I224" s="3">
        <v>1200</v>
      </c>
      <c r="J224" s="3">
        <v>20000</v>
      </c>
      <c r="K224" s="3">
        <v>12000</v>
      </c>
      <c r="L224" s="3">
        <v>8000</v>
      </c>
      <c r="M224" s="5">
        <f t="shared" si="3"/>
        <v>0.4</v>
      </c>
    </row>
    <row r="225" spans="1:13" x14ac:dyDescent="0.3">
      <c r="A225" t="s">
        <v>110</v>
      </c>
      <c r="B225" t="s">
        <v>19</v>
      </c>
      <c r="C225" t="s">
        <v>20</v>
      </c>
      <c r="D225" t="s">
        <v>31</v>
      </c>
      <c r="E225" t="s">
        <v>21</v>
      </c>
      <c r="F225" t="s">
        <v>22</v>
      </c>
      <c r="G225">
        <v>2</v>
      </c>
      <c r="H225" s="3">
        <v>2000</v>
      </c>
      <c r="I225" s="3">
        <v>1200</v>
      </c>
      <c r="J225" s="3">
        <v>4000</v>
      </c>
      <c r="K225" s="3">
        <v>2400</v>
      </c>
      <c r="L225" s="3">
        <v>1600</v>
      </c>
      <c r="M225" s="5">
        <f t="shared" si="3"/>
        <v>0.4</v>
      </c>
    </row>
    <row r="226" spans="1:13" x14ac:dyDescent="0.3">
      <c r="A226" t="s">
        <v>563</v>
      </c>
      <c r="B226" t="s">
        <v>19</v>
      </c>
      <c r="C226" t="s">
        <v>20</v>
      </c>
      <c r="D226" t="s">
        <v>26</v>
      </c>
      <c r="E226" t="s">
        <v>46</v>
      </c>
      <c r="F226" t="s">
        <v>17</v>
      </c>
      <c r="G226">
        <v>4</v>
      </c>
      <c r="H226" s="3">
        <v>20000</v>
      </c>
      <c r="I226" s="3">
        <v>15000</v>
      </c>
      <c r="J226" s="3">
        <v>80000</v>
      </c>
      <c r="K226" s="3">
        <v>60000</v>
      </c>
      <c r="L226" s="3">
        <v>20000</v>
      </c>
      <c r="M226" s="5">
        <f t="shared" si="3"/>
        <v>0.25</v>
      </c>
    </row>
    <row r="227" spans="1:13" x14ac:dyDescent="0.3">
      <c r="A227" t="s">
        <v>569</v>
      </c>
      <c r="B227" t="s">
        <v>570</v>
      </c>
      <c r="C227" t="s">
        <v>20</v>
      </c>
      <c r="D227" t="s">
        <v>36</v>
      </c>
      <c r="E227" t="s">
        <v>62</v>
      </c>
      <c r="F227" t="s">
        <v>17</v>
      </c>
      <c r="G227">
        <v>2</v>
      </c>
      <c r="H227" s="3">
        <v>50000</v>
      </c>
      <c r="I227" s="3">
        <v>40000</v>
      </c>
      <c r="J227" s="3">
        <v>100000</v>
      </c>
      <c r="K227" s="3">
        <v>80000</v>
      </c>
      <c r="L227" s="3">
        <v>20000</v>
      </c>
      <c r="M227" s="5">
        <f t="shared" si="3"/>
        <v>0.2</v>
      </c>
    </row>
    <row r="228" spans="1:13" x14ac:dyDescent="0.3">
      <c r="A228" t="s">
        <v>151</v>
      </c>
      <c r="B228" t="s">
        <v>152</v>
      </c>
      <c r="C228" t="s">
        <v>20</v>
      </c>
      <c r="D228" t="s">
        <v>31</v>
      </c>
      <c r="E228" t="s">
        <v>16</v>
      </c>
      <c r="F228" t="s">
        <v>17</v>
      </c>
      <c r="G228">
        <v>8</v>
      </c>
      <c r="H228" s="3">
        <v>15000</v>
      </c>
      <c r="I228" s="3">
        <v>11000</v>
      </c>
      <c r="J228" s="3">
        <v>120000</v>
      </c>
      <c r="K228" s="3">
        <v>88000</v>
      </c>
      <c r="L228" s="3">
        <v>32000</v>
      </c>
      <c r="M228" s="5">
        <f t="shared" si="3"/>
        <v>0.26666666666666666</v>
      </c>
    </row>
    <row r="229" spans="1:13" x14ac:dyDescent="0.3">
      <c r="A229" t="s">
        <v>130</v>
      </c>
      <c r="B229" t="s">
        <v>131</v>
      </c>
      <c r="C229" t="s">
        <v>20</v>
      </c>
      <c r="D229" t="s">
        <v>31</v>
      </c>
      <c r="E229" t="s">
        <v>16</v>
      </c>
      <c r="F229" t="s">
        <v>17</v>
      </c>
      <c r="G229">
        <v>8</v>
      </c>
      <c r="H229" s="3">
        <v>15000</v>
      </c>
      <c r="I229" s="3">
        <v>11000</v>
      </c>
      <c r="J229" s="3">
        <v>120000</v>
      </c>
      <c r="K229" s="3">
        <v>88000</v>
      </c>
      <c r="L229" s="3">
        <v>32000</v>
      </c>
      <c r="M229" s="5">
        <f t="shared" si="3"/>
        <v>0.26666666666666666</v>
      </c>
    </row>
    <row r="230" spans="1:13" x14ac:dyDescent="0.3">
      <c r="A230" t="s">
        <v>593</v>
      </c>
      <c r="B230" t="s">
        <v>131</v>
      </c>
      <c r="C230" t="s">
        <v>20</v>
      </c>
      <c r="D230" t="s">
        <v>31</v>
      </c>
      <c r="E230" t="s">
        <v>21</v>
      </c>
      <c r="F230" t="s">
        <v>22</v>
      </c>
      <c r="G230">
        <v>3</v>
      </c>
      <c r="H230" s="3">
        <v>2000</v>
      </c>
      <c r="I230" s="3">
        <v>1200</v>
      </c>
      <c r="J230" s="3">
        <v>6000</v>
      </c>
      <c r="K230" s="3">
        <v>3600</v>
      </c>
      <c r="L230" s="3">
        <v>2400</v>
      </c>
      <c r="M230" s="5">
        <f t="shared" si="3"/>
        <v>0.4</v>
      </c>
    </row>
    <row r="231" spans="1:13" x14ac:dyDescent="0.3">
      <c r="A231" t="s">
        <v>628</v>
      </c>
      <c r="B231" t="s">
        <v>131</v>
      </c>
      <c r="C231" t="s">
        <v>20</v>
      </c>
      <c r="D231" t="s">
        <v>26</v>
      </c>
      <c r="E231" t="s">
        <v>21</v>
      </c>
      <c r="F231" t="s">
        <v>22</v>
      </c>
      <c r="G231">
        <v>10</v>
      </c>
      <c r="H231" s="3">
        <v>2000</v>
      </c>
      <c r="I231" s="3">
        <v>1200</v>
      </c>
      <c r="J231" s="3">
        <v>20000</v>
      </c>
      <c r="K231" s="3">
        <v>12000</v>
      </c>
      <c r="L231" s="3">
        <v>8000</v>
      </c>
      <c r="M231" s="5">
        <f t="shared" si="3"/>
        <v>0.4</v>
      </c>
    </row>
    <row r="232" spans="1:13" x14ac:dyDescent="0.3">
      <c r="A232" t="s">
        <v>253</v>
      </c>
      <c r="B232" t="s">
        <v>254</v>
      </c>
      <c r="C232" t="s">
        <v>20</v>
      </c>
      <c r="D232" t="s">
        <v>15</v>
      </c>
      <c r="E232" t="s">
        <v>21</v>
      </c>
      <c r="F232" t="s">
        <v>22</v>
      </c>
      <c r="G232">
        <v>6</v>
      </c>
      <c r="H232" s="3">
        <v>2000</v>
      </c>
      <c r="I232" s="3">
        <v>1200</v>
      </c>
      <c r="J232" s="3">
        <v>12000</v>
      </c>
      <c r="K232" s="3">
        <v>7200</v>
      </c>
      <c r="L232" s="3">
        <v>4800</v>
      </c>
      <c r="M232" s="5">
        <f t="shared" si="3"/>
        <v>0.4</v>
      </c>
    </row>
    <row r="233" spans="1:13" x14ac:dyDescent="0.3">
      <c r="A233" t="s">
        <v>598</v>
      </c>
      <c r="B233" t="s">
        <v>254</v>
      </c>
      <c r="C233" t="s">
        <v>20</v>
      </c>
      <c r="D233" t="s">
        <v>36</v>
      </c>
      <c r="E233" t="s">
        <v>21</v>
      </c>
      <c r="F233" t="s">
        <v>22</v>
      </c>
      <c r="G233">
        <v>2</v>
      </c>
      <c r="H233" s="3">
        <v>2000</v>
      </c>
      <c r="I233" s="3">
        <v>1200</v>
      </c>
      <c r="J233" s="3">
        <v>4000</v>
      </c>
      <c r="K233" s="3">
        <v>2400</v>
      </c>
      <c r="L233" s="3">
        <v>1600</v>
      </c>
      <c r="M233" s="5">
        <f t="shared" si="3"/>
        <v>0.4</v>
      </c>
    </row>
    <row r="234" spans="1:13" x14ac:dyDescent="0.3">
      <c r="A234" t="s">
        <v>603</v>
      </c>
      <c r="B234" t="s">
        <v>254</v>
      </c>
      <c r="C234" t="s">
        <v>20</v>
      </c>
      <c r="D234" t="s">
        <v>36</v>
      </c>
      <c r="E234" t="s">
        <v>16</v>
      </c>
      <c r="F234" t="s">
        <v>17</v>
      </c>
      <c r="G234">
        <v>5</v>
      </c>
      <c r="H234" s="3">
        <v>15000</v>
      </c>
      <c r="I234" s="3">
        <v>11000</v>
      </c>
      <c r="J234" s="3">
        <v>75000</v>
      </c>
      <c r="K234" s="3">
        <v>55000</v>
      </c>
      <c r="L234" s="3">
        <v>20000</v>
      </c>
      <c r="M234" s="5">
        <f t="shared" si="3"/>
        <v>0.26666666666666666</v>
      </c>
    </row>
    <row r="235" spans="1:13" x14ac:dyDescent="0.3">
      <c r="A235" t="s">
        <v>491</v>
      </c>
      <c r="B235" t="s">
        <v>492</v>
      </c>
      <c r="C235" t="s">
        <v>20</v>
      </c>
      <c r="D235" t="s">
        <v>31</v>
      </c>
      <c r="E235" t="s">
        <v>62</v>
      </c>
      <c r="F235" t="s">
        <v>17</v>
      </c>
      <c r="G235">
        <v>10</v>
      </c>
      <c r="H235" s="3">
        <v>50000</v>
      </c>
      <c r="I235" s="3">
        <v>40000</v>
      </c>
      <c r="J235" s="3">
        <v>500000</v>
      </c>
      <c r="K235" s="3">
        <v>400000</v>
      </c>
      <c r="L235" s="3">
        <v>100000</v>
      </c>
      <c r="M235" s="5">
        <f t="shared" si="3"/>
        <v>0.2</v>
      </c>
    </row>
    <row r="236" spans="1:13" x14ac:dyDescent="0.3">
      <c r="A236" t="s">
        <v>349</v>
      </c>
      <c r="B236" t="s">
        <v>350</v>
      </c>
      <c r="C236" t="s">
        <v>20</v>
      </c>
      <c r="D236" t="s">
        <v>26</v>
      </c>
      <c r="E236" t="s">
        <v>27</v>
      </c>
      <c r="F236" t="s">
        <v>17</v>
      </c>
      <c r="G236">
        <v>8</v>
      </c>
      <c r="H236" s="3">
        <v>30000</v>
      </c>
      <c r="I236" s="3">
        <v>24000</v>
      </c>
      <c r="J236" s="3">
        <v>240000</v>
      </c>
      <c r="K236" s="3">
        <v>192000</v>
      </c>
      <c r="L236" s="3">
        <v>48000</v>
      </c>
      <c r="M236" s="5">
        <f t="shared" si="3"/>
        <v>0.2</v>
      </c>
    </row>
    <row r="237" spans="1:13" x14ac:dyDescent="0.3">
      <c r="A237" t="s">
        <v>588</v>
      </c>
      <c r="B237" t="s">
        <v>350</v>
      </c>
      <c r="C237" t="s">
        <v>20</v>
      </c>
      <c r="D237" t="s">
        <v>26</v>
      </c>
      <c r="E237" t="s">
        <v>16</v>
      </c>
      <c r="F237" t="s">
        <v>17</v>
      </c>
      <c r="G237">
        <v>3</v>
      </c>
      <c r="H237" s="3">
        <v>15000</v>
      </c>
      <c r="I237" s="3">
        <v>11000</v>
      </c>
      <c r="J237" s="3">
        <v>45000</v>
      </c>
      <c r="K237" s="3">
        <v>33000</v>
      </c>
      <c r="L237" s="3">
        <v>12000</v>
      </c>
      <c r="M237" s="5">
        <f t="shared" si="3"/>
        <v>0.26666666666666666</v>
      </c>
    </row>
    <row r="238" spans="1:13" x14ac:dyDescent="0.3">
      <c r="A238" t="s">
        <v>471</v>
      </c>
      <c r="B238" t="s">
        <v>472</v>
      </c>
      <c r="C238" t="s">
        <v>20</v>
      </c>
      <c r="D238" t="s">
        <v>36</v>
      </c>
      <c r="E238" t="s">
        <v>46</v>
      </c>
      <c r="F238" t="s">
        <v>17</v>
      </c>
      <c r="G238">
        <v>10</v>
      </c>
      <c r="H238" s="3">
        <v>20000</v>
      </c>
      <c r="I238" s="3">
        <v>15000</v>
      </c>
      <c r="J238" s="3">
        <v>200000</v>
      </c>
      <c r="K238" s="3">
        <v>150000</v>
      </c>
      <c r="L238" s="3">
        <v>50000</v>
      </c>
      <c r="M238" s="5">
        <f t="shared" si="3"/>
        <v>0.25</v>
      </c>
    </row>
    <row r="239" spans="1:13" x14ac:dyDescent="0.3">
      <c r="A239" t="s">
        <v>610</v>
      </c>
      <c r="B239" t="s">
        <v>472</v>
      </c>
      <c r="C239" t="s">
        <v>20</v>
      </c>
      <c r="D239" t="s">
        <v>31</v>
      </c>
      <c r="E239" t="s">
        <v>62</v>
      </c>
      <c r="F239" t="s">
        <v>17</v>
      </c>
      <c r="G239">
        <v>3</v>
      </c>
      <c r="H239" s="3">
        <v>50000</v>
      </c>
      <c r="I239" s="3">
        <v>40000</v>
      </c>
      <c r="J239" s="3">
        <v>150000</v>
      </c>
      <c r="K239" s="3">
        <v>120000</v>
      </c>
      <c r="L239" s="3">
        <v>30000</v>
      </c>
      <c r="M239" s="5">
        <f t="shared" si="3"/>
        <v>0.2</v>
      </c>
    </row>
    <row r="240" spans="1:13" x14ac:dyDescent="0.3">
      <c r="A240" t="s">
        <v>670</v>
      </c>
      <c r="B240" t="s">
        <v>472</v>
      </c>
      <c r="C240" t="s">
        <v>20</v>
      </c>
      <c r="D240" t="s">
        <v>36</v>
      </c>
      <c r="E240" t="s">
        <v>62</v>
      </c>
      <c r="F240" t="s">
        <v>17</v>
      </c>
      <c r="G240">
        <v>2</v>
      </c>
      <c r="H240" s="3">
        <v>50000</v>
      </c>
      <c r="I240" s="3">
        <v>40000</v>
      </c>
      <c r="J240" s="3">
        <v>100000</v>
      </c>
      <c r="K240" s="3">
        <v>80000</v>
      </c>
      <c r="L240" s="3">
        <v>20000</v>
      </c>
      <c r="M240" s="5">
        <f t="shared" si="3"/>
        <v>0.2</v>
      </c>
    </row>
    <row r="241" spans="1:13" x14ac:dyDescent="0.3">
      <c r="A241" t="s">
        <v>649</v>
      </c>
      <c r="B241" t="s">
        <v>650</v>
      </c>
      <c r="C241" t="s">
        <v>20</v>
      </c>
      <c r="D241" t="s">
        <v>31</v>
      </c>
      <c r="E241" t="s">
        <v>62</v>
      </c>
      <c r="F241" t="s">
        <v>17</v>
      </c>
      <c r="G241">
        <v>4</v>
      </c>
      <c r="H241" s="3">
        <v>50000</v>
      </c>
      <c r="I241" s="3">
        <v>40000</v>
      </c>
      <c r="J241" s="3">
        <v>200000</v>
      </c>
      <c r="K241" s="3">
        <v>160000</v>
      </c>
      <c r="L241" s="3">
        <v>40000</v>
      </c>
      <c r="M241" s="5">
        <f t="shared" si="3"/>
        <v>0.2</v>
      </c>
    </row>
    <row r="242" spans="1:13" x14ac:dyDescent="0.3">
      <c r="A242" t="s">
        <v>548</v>
      </c>
      <c r="B242" t="s">
        <v>549</v>
      </c>
      <c r="C242" t="s">
        <v>20</v>
      </c>
      <c r="D242" t="s">
        <v>26</v>
      </c>
      <c r="E242" t="s">
        <v>46</v>
      </c>
      <c r="F242" t="s">
        <v>17</v>
      </c>
      <c r="G242">
        <v>3</v>
      </c>
      <c r="H242" s="3">
        <v>20000</v>
      </c>
      <c r="I242" s="3">
        <v>15000</v>
      </c>
      <c r="J242" s="3">
        <v>60000</v>
      </c>
      <c r="K242" s="3">
        <v>45000</v>
      </c>
      <c r="L242" s="3">
        <v>15000</v>
      </c>
      <c r="M242" s="5">
        <f t="shared" si="3"/>
        <v>0.25</v>
      </c>
    </row>
    <row r="243" spans="1:13" x14ac:dyDescent="0.3">
      <c r="A243" t="s">
        <v>612</v>
      </c>
      <c r="B243" t="s">
        <v>549</v>
      </c>
      <c r="C243" t="s">
        <v>20</v>
      </c>
      <c r="D243" t="s">
        <v>36</v>
      </c>
      <c r="E243" t="s">
        <v>62</v>
      </c>
      <c r="F243" t="s">
        <v>17</v>
      </c>
      <c r="G243">
        <v>2</v>
      </c>
      <c r="H243" s="3">
        <v>50000</v>
      </c>
      <c r="I243" s="3">
        <v>40000</v>
      </c>
      <c r="J243" s="3">
        <v>100000</v>
      </c>
      <c r="K243" s="3">
        <v>80000</v>
      </c>
      <c r="L243" s="3">
        <v>20000</v>
      </c>
      <c r="M243" s="5">
        <f t="shared" si="3"/>
        <v>0.2</v>
      </c>
    </row>
    <row r="244" spans="1:13" x14ac:dyDescent="0.3">
      <c r="A244" t="s">
        <v>288</v>
      </c>
      <c r="B244" t="s">
        <v>289</v>
      </c>
      <c r="C244" t="s">
        <v>20</v>
      </c>
      <c r="D244" t="s">
        <v>31</v>
      </c>
      <c r="E244" t="s">
        <v>46</v>
      </c>
      <c r="F244" t="s">
        <v>17</v>
      </c>
      <c r="G244">
        <v>10</v>
      </c>
      <c r="H244" s="3">
        <v>20000</v>
      </c>
      <c r="I244" s="3">
        <v>15000</v>
      </c>
      <c r="J244" s="3">
        <v>200000</v>
      </c>
      <c r="K244" s="3">
        <v>150000</v>
      </c>
      <c r="L244" s="3">
        <v>50000</v>
      </c>
      <c r="M244" s="5">
        <f t="shared" si="3"/>
        <v>0.25</v>
      </c>
    </row>
    <row r="245" spans="1:13" x14ac:dyDescent="0.3">
      <c r="A245" t="s">
        <v>497</v>
      </c>
      <c r="B245" t="s">
        <v>498</v>
      </c>
      <c r="C245" t="s">
        <v>20</v>
      </c>
      <c r="D245" t="s">
        <v>31</v>
      </c>
      <c r="E245" t="s">
        <v>46</v>
      </c>
      <c r="F245" t="s">
        <v>17</v>
      </c>
      <c r="G245">
        <v>10</v>
      </c>
      <c r="H245" s="3">
        <v>20000</v>
      </c>
      <c r="I245" s="3">
        <v>15000</v>
      </c>
      <c r="J245" s="3">
        <v>200000</v>
      </c>
      <c r="K245" s="3">
        <v>150000</v>
      </c>
      <c r="L245" s="3">
        <v>50000</v>
      </c>
      <c r="M245" s="5">
        <f t="shared" si="3"/>
        <v>0.25</v>
      </c>
    </row>
    <row r="246" spans="1:13" x14ac:dyDescent="0.3">
      <c r="A246" t="s">
        <v>575</v>
      </c>
      <c r="B246" t="s">
        <v>498</v>
      </c>
      <c r="C246" t="s">
        <v>20</v>
      </c>
      <c r="D246" t="s">
        <v>36</v>
      </c>
      <c r="E246" t="s">
        <v>21</v>
      </c>
      <c r="F246" t="s">
        <v>22</v>
      </c>
      <c r="G246">
        <v>5</v>
      </c>
      <c r="H246" s="3">
        <v>2000</v>
      </c>
      <c r="I246" s="3">
        <v>1200</v>
      </c>
      <c r="J246" s="3">
        <v>10000</v>
      </c>
      <c r="K246" s="3">
        <v>6000</v>
      </c>
      <c r="L246" s="3">
        <v>4000</v>
      </c>
      <c r="M246" s="5">
        <f t="shared" si="3"/>
        <v>0.4</v>
      </c>
    </row>
    <row r="247" spans="1:13" x14ac:dyDescent="0.3">
      <c r="A247" t="s">
        <v>615</v>
      </c>
      <c r="B247" t="s">
        <v>498</v>
      </c>
      <c r="C247" t="s">
        <v>20</v>
      </c>
      <c r="D247" t="s">
        <v>15</v>
      </c>
      <c r="E247" t="s">
        <v>16</v>
      </c>
      <c r="F247" t="s">
        <v>17</v>
      </c>
      <c r="G247">
        <v>2</v>
      </c>
      <c r="H247" s="3">
        <v>15000</v>
      </c>
      <c r="I247" s="3">
        <v>11000</v>
      </c>
      <c r="J247" s="3">
        <v>30000</v>
      </c>
      <c r="K247" s="3">
        <v>22000</v>
      </c>
      <c r="L247" s="3">
        <v>8000</v>
      </c>
      <c r="M247" s="5">
        <f t="shared" si="3"/>
        <v>0.26666666666666666</v>
      </c>
    </row>
    <row r="248" spans="1:13" x14ac:dyDescent="0.3">
      <c r="A248" t="s">
        <v>111</v>
      </c>
      <c r="B248" t="s">
        <v>112</v>
      </c>
      <c r="C248" t="s">
        <v>20</v>
      </c>
      <c r="D248" t="s">
        <v>31</v>
      </c>
      <c r="E248" t="s">
        <v>21</v>
      </c>
      <c r="F248" t="s">
        <v>22</v>
      </c>
      <c r="G248">
        <v>5</v>
      </c>
      <c r="H248" s="3">
        <v>2000</v>
      </c>
      <c r="I248" s="3">
        <v>1200</v>
      </c>
      <c r="J248" s="3">
        <v>10000</v>
      </c>
      <c r="K248" s="3">
        <v>6000</v>
      </c>
      <c r="L248" s="3">
        <v>4000</v>
      </c>
      <c r="M248" s="5">
        <f t="shared" si="3"/>
        <v>0.4</v>
      </c>
    </row>
    <row r="249" spans="1:13" x14ac:dyDescent="0.3">
      <c r="A249" t="s">
        <v>384</v>
      </c>
      <c r="B249" t="s">
        <v>385</v>
      </c>
      <c r="C249" t="s">
        <v>20</v>
      </c>
      <c r="D249" t="s">
        <v>36</v>
      </c>
      <c r="E249" t="s">
        <v>21</v>
      </c>
      <c r="F249" t="s">
        <v>22</v>
      </c>
      <c r="G249">
        <v>9</v>
      </c>
      <c r="H249" s="3">
        <v>2000</v>
      </c>
      <c r="I249" s="3">
        <v>1200</v>
      </c>
      <c r="J249" s="3">
        <v>18000</v>
      </c>
      <c r="K249" s="3">
        <v>10800</v>
      </c>
      <c r="L249" s="3">
        <v>7200</v>
      </c>
      <c r="M249" s="5">
        <f t="shared" si="3"/>
        <v>0.4</v>
      </c>
    </row>
    <row r="250" spans="1:13" x14ac:dyDescent="0.3">
      <c r="A250" t="s">
        <v>395</v>
      </c>
      <c r="B250" t="s">
        <v>396</v>
      </c>
      <c r="C250" t="s">
        <v>20</v>
      </c>
      <c r="D250" t="s">
        <v>31</v>
      </c>
      <c r="E250" t="s">
        <v>21</v>
      </c>
      <c r="F250" t="s">
        <v>22</v>
      </c>
      <c r="G250">
        <v>5</v>
      </c>
      <c r="H250" s="3">
        <v>2000</v>
      </c>
      <c r="I250" s="3">
        <v>1200</v>
      </c>
      <c r="J250" s="3">
        <v>10000</v>
      </c>
      <c r="K250" s="3">
        <v>6000</v>
      </c>
      <c r="L250" s="3">
        <v>4000</v>
      </c>
      <c r="M250" s="5">
        <f t="shared" si="3"/>
        <v>0.4</v>
      </c>
    </row>
    <row r="251" spans="1:13" x14ac:dyDescent="0.3">
      <c r="A251" t="s">
        <v>427</v>
      </c>
      <c r="B251" t="s">
        <v>396</v>
      </c>
      <c r="C251" t="s">
        <v>20</v>
      </c>
      <c r="D251" t="s">
        <v>31</v>
      </c>
      <c r="E251" t="s">
        <v>21</v>
      </c>
      <c r="F251" t="s">
        <v>22</v>
      </c>
      <c r="G251">
        <v>7</v>
      </c>
      <c r="H251" s="3">
        <v>2000</v>
      </c>
      <c r="I251" s="3">
        <v>1200</v>
      </c>
      <c r="J251" s="3">
        <v>14000</v>
      </c>
      <c r="K251" s="3">
        <v>8400</v>
      </c>
      <c r="L251" s="3">
        <v>5600</v>
      </c>
      <c r="M251" s="5">
        <f t="shared" si="3"/>
        <v>0.4</v>
      </c>
    </row>
    <row r="252" spans="1:13" x14ac:dyDescent="0.3">
      <c r="A252" t="s">
        <v>443</v>
      </c>
      <c r="B252" t="s">
        <v>396</v>
      </c>
      <c r="C252" t="s">
        <v>20</v>
      </c>
      <c r="D252" t="s">
        <v>26</v>
      </c>
      <c r="E252" t="s">
        <v>46</v>
      </c>
      <c r="F252" t="s">
        <v>17</v>
      </c>
      <c r="G252">
        <v>9</v>
      </c>
      <c r="H252" s="3">
        <v>20000</v>
      </c>
      <c r="I252" s="3">
        <v>15000</v>
      </c>
      <c r="J252" s="3">
        <v>180000</v>
      </c>
      <c r="K252" s="3">
        <v>135000</v>
      </c>
      <c r="L252" s="3">
        <v>45000</v>
      </c>
      <c r="M252" s="5">
        <f t="shared" si="3"/>
        <v>0.25</v>
      </c>
    </row>
    <row r="253" spans="1:13" x14ac:dyDescent="0.3">
      <c r="A253" t="s">
        <v>469</v>
      </c>
      <c r="B253" t="s">
        <v>396</v>
      </c>
      <c r="C253" t="s">
        <v>20</v>
      </c>
      <c r="D253" t="s">
        <v>26</v>
      </c>
      <c r="E253" t="s">
        <v>62</v>
      </c>
      <c r="F253" t="s">
        <v>17</v>
      </c>
      <c r="G253">
        <v>5</v>
      </c>
      <c r="H253" s="3">
        <v>50000</v>
      </c>
      <c r="I253" s="3">
        <v>40000</v>
      </c>
      <c r="J253" s="3">
        <v>250000</v>
      </c>
      <c r="K253" s="3">
        <v>200000</v>
      </c>
      <c r="L253" s="3">
        <v>50000</v>
      </c>
      <c r="M253" s="5">
        <f t="shared" si="3"/>
        <v>0.2</v>
      </c>
    </row>
    <row r="254" spans="1:13" x14ac:dyDescent="0.3">
      <c r="A254" t="s">
        <v>74</v>
      </c>
      <c r="B254" t="s">
        <v>75</v>
      </c>
      <c r="C254" t="s">
        <v>20</v>
      </c>
      <c r="D254" t="s">
        <v>26</v>
      </c>
      <c r="E254" t="s">
        <v>46</v>
      </c>
      <c r="F254" t="s">
        <v>17</v>
      </c>
      <c r="G254">
        <v>3</v>
      </c>
      <c r="H254" s="3">
        <v>20000</v>
      </c>
      <c r="I254" s="3">
        <v>15000</v>
      </c>
      <c r="J254" s="3">
        <v>60000</v>
      </c>
      <c r="K254" s="3">
        <v>45000</v>
      </c>
      <c r="L254" s="3">
        <v>15000</v>
      </c>
      <c r="M254" s="5">
        <f t="shared" si="3"/>
        <v>0.25</v>
      </c>
    </row>
    <row r="255" spans="1:13" x14ac:dyDescent="0.3">
      <c r="A255" t="s">
        <v>215</v>
      </c>
      <c r="B255" t="s">
        <v>75</v>
      </c>
      <c r="C255" t="s">
        <v>20</v>
      </c>
      <c r="D255" t="s">
        <v>26</v>
      </c>
      <c r="E255" t="s">
        <v>27</v>
      </c>
      <c r="F255" t="s">
        <v>17</v>
      </c>
      <c r="G255">
        <v>1</v>
      </c>
      <c r="H255" s="3">
        <v>30000</v>
      </c>
      <c r="I255" s="3">
        <v>24000</v>
      </c>
      <c r="J255" s="3">
        <v>30000</v>
      </c>
      <c r="K255" s="3">
        <v>24000</v>
      </c>
      <c r="L255" s="3">
        <v>6000</v>
      </c>
      <c r="M255" s="5">
        <f t="shared" si="3"/>
        <v>0.2</v>
      </c>
    </row>
    <row r="256" spans="1:13" x14ac:dyDescent="0.3">
      <c r="A256" t="s">
        <v>67</v>
      </c>
      <c r="B256" t="s">
        <v>68</v>
      </c>
      <c r="C256" t="s">
        <v>20</v>
      </c>
      <c r="D256" t="s">
        <v>36</v>
      </c>
      <c r="E256" t="s">
        <v>21</v>
      </c>
      <c r="F256" t="s">
        <v>22</v>
      </c>
      <c r="G256">
        <v>3</v>
      </c>
      <c r="H256" s="3">
        <v>2000</v>
      </c>
      <c r="I256" s="3">
        <v>1200</v>
      </c>
      <c r="J256" s="3">
        <v>6000</v>
      </c>
      <c r="K256" s="3">
        <v>3600</v>
      </c>
      <c r="L256" s="3">
        <v>2400</v>
      </c>
      <c r="M256" s="5">
        <f t="shared" si="3"/>
        <v>0.4</v>
      </c>
    </row>
    <row r="257" spans="1:13" x14ac:dyDescent="0.3">
      <c r="A257" t="s">
        <v>103</v>
      </c>
      <c r="B257" t="s">
        <v>68</v>
      </c>
      <c r="C257" t="s">
        <v>20</v>
      </c>
      <c r="D257" t="s">
        <v>15</v>
      </c>
      <c r="E257" t="s">
        <v>21</v>
      </c>
      <c r="F257" t="s">
        <v>22</v>
      </c>
      <c r="G257">
        <v>7</v>
      </c>
      <c r="H257" s="3">
        <v>2000</v>
      </c>
      <c r="I257" s="3">
        <v>1200</v>
      </c>
      <c r="J257" s="3">
        <v>14000</v>
      </c>
      <c r="K257" s="3">
        <v>8400</v>
      </c>
      <c r="L257" s="3">
        <v>5600</v>
      </c>
      <c r="M257" s="5">
        <f t="shared" si="3"/>
        <v>0.4</v>
      </c>
    </row>
    <row r="258" spans="1:13" x14ac:dyDescent="0.3">
      <c r="A258" t="s">
        <v>281</v>
      </c>
      <c r="B258" t="s">
        <v>282</v>
      </c>
      <c r="C258" t="s">
        <v>20</v>
      </c>
      <c r="D258" t="s">
        <v>36</v>
      </c>
      <c r="E258" t="s">
        <v>27</v>
      </c>
      <c r="F258" t="s">
        <v>17</v>
      </c>
      <c r="G258">
        <v>6</v>
      </c>
      <c r="H258" s="3">
        <v>30000</v>
      </c>
      <c r="I258" s="3">
        <v>24000</v>
      </c>
      <c r="J258" s="3">
        <v>180000</v>
      </c>
      <c r="K258" s="3">
        <v>144000</v>
      </c>
      <c r="L258" s="3">
        <v>36000</v>
      </c>
      <c r="M258" s="5">
        <f t="shared" si="3"/>
        <v>0.2</v>
      </c>
    </row>
    <row r="259" spans="1:13" x14ac:dyDescent="0.3">
      <c r="A259" t="s">
        <v>510</v>
      </c>
      <c r="B259" t="s">
        <v>511</v>
      </c>
      <c r="C259" t="s">
        <v>20</v>
      </c>
      <c r="D259" t="s">
        <v>15</v>
      </c>
      <c r="E259" t="s">
        <v>27</v>
      </c>
      <c r="F259" t="s">
        <v>17</v>
      </c>
      <c r="G259">
        <v>9</v>
      </c>
      <c r="H259" s="3">
        <v>30000</v>
      </c>
      <c r="I259" s="3">
        <v>24000</v>
      </c>
      <c r="J259" s="3">
        <v>270000</v>
      </c>
      <c r="K259" s="3">
        <v>216000</v>
      </c>
      <c r="L259" s="3">
        <v>54000</v>
      </c>
      <c r="M259" s="5">
        <f t="shared" ref="M259:M322" si="4">L259/J259</f>
        <v>0.2</v>
      </c>
    </row>
    <row r="260" spans="1:13" x14ac:dyDescent="0.3">
      <c r="A260" t="s">
        <v>355</v>
      </c>
      <c r="B260" t="s">
        <v>356</v>
      </c>
      <c r="C260" t="s">
        <v>20</v>
      </c>
      <c r="D260" t="s">
        <v>15</v>
      </c>
      <c r="E260" t="s">
        <v>62</v>
      </c>
      <c r="F260" t="s">
        <v>17</v>
      </c>
      <c r="G260">
        <v>4</v>
      </c>
      <c r="H260" s="3">
        <v>50000</v>
      </c>
      <c r="I260" s="3">
        <v>40000</v>
      </c>
      <c r="J260" s="3">
        <v>200000</v>
      </c>
      <c r="K260" s="3">
        <v>160000</v>
      </c>
      <c r="L260" s="3">
        <v>40000</v>
      </c>
      <c r="M260" s="5">
        <f t="shared" si="4"/>
        <v>0.2</v>
      </c>
    </row>
    <row r="261" spans="1:13" x14ac:dyDescent="0.3">
      <c r="A261" t="s">
        <v>398</v>
      </c>
      <c r="B261" t="s">
        <v>356</v>
      </c>
      <c r="C261" t="s">
        <v>20</v>
      </c>
      <c r="D261" t="s">
        <v>31</v>
      </c>
      <c r="E261" t="s">
        <v>46</v>
      </c>
      <c r="F261" t="s">
        <v>17</v>
      </c>
      <c r="G261">
        <v>5</v>
      </c>
      <c r="H261" s="3">
        <v>20000</v>
      </c>
      <c r="I261" s="3">
        <v>15000</v>
      </c>
      <c r="J261" s="3">
        <v>100000</v>
      </c>
      <c r="K261" s="3">
        <v>75000</v>
      </c>
      <c r="L261" s="3">
        <v>25000</v>
      </c>
      <c r="M261" s="5">
        <f t="shared" si="4"/>
        <v>0.25</v>
      </c>
    </row>
    <row r="262" spans="1:13" x14ac:dyDescent="0.3">
      <c r="A262" t="s">
        <v>460</v>
      </c>
      <c r="B262" t="s">
        <v>356</v>
      </c>
      <c r="C262" t="s">
        <v>20</v>
      </c>
      <c r="D262" t="s">
        <v>31</v>
      </c>
      <c r="E262" t="s">
        <v>46</v>
      </c>
      <c r="F262" t="s">
        <v>17</v>
      </c>
      <c r="G262">
        <v>7</v>
      </c>
      <c r="H262" s="3">
        <v>20000</v>
      </c>
      <c r="I262" s="3">
        <v>15000</v>
      </c>
      <c r="J262" s="3">
        <v>140000</v>
      </c>
      <c r="K262" s="3">
        <v>105000</v>
      </c>
      <c r="L262" s="3">
        <v>35000</v>
      </c>
      <c r="M262" s="5">
        <f t="shared" si="4"/>
        <v>0.25</v>
      </c>
    </row>
    <row r="263" spans="1:13" x14ac:dyDescent="0.3">
      <c r="A263" t="s">
        <v>522</v>
      </c>
      <c r="B263" t="s">
        <v>356</v>
      </c>
      <c r="C263" t="s">
        <v>20</v>
      </c>
      <c r="D263" t="s">
        <v>26</v>
      </c>
      <c r="E263" t="s">
        <v>62</v>
      </c>
      <c r="F263" t="s">
        <v>17</v>
      </c>
      <c r="G263">
        <v>9</v>
      </c>
      <c r="H263" s="3">
        <v>50000</v>
      </c>
      <c r="I263" s="3">
        <v>40000</v>
      </c>
      <c r="J263" s="3">
        <v>450000</v>
      </c>
      <c r="K263" s="3">
        <v>360000</v>
      </c>
      <c r="L263" s="3">
        <v>90000</v>
      </c>
      <c r="M263" s="5">
        <f t="shared" si="4"/>
        <v>0.2</v>
      </c>
    </row>
    <row r="264" spans="1:13" x14ac:dyDescent="0.3">
      <c r="A264" t="s">
        <v>347</v>
      </c>
      <c r="B264" t="s">
        <v>348</v>
      </c>
      <c r="C264" t="s">
        <v>71</v>
      </c>
      <c r="D264" t="s">
        <v>26</v>
      </c>
      <c r="E264" t="s">
        <v>16</v>
      </c>
      <c r="F264" t="s">
        <v>17</v>
      </c>
      <c r="G264">
        <v>6</v>
      </c>
      <c r="H264" s="3">
        <v>15000</v>
      </c>
      <c r="I264" s="3">
        <v>11000</v>
      </c>
      <c r="J264" s="3">
        <v>90000</v>
      </c>
      <c r="K264" s="3">
        <v>66000</v>
      </c>
      <c r="L264" s="3">
        <v>24000</v>
      </c>
      <c r="M264" s="5">
        <f t="shared" si="4"/>
        <v>0.26666666666666666</v>
      </c>
    </row>
    <row r="265" spans="1:13" x14ac:dyDescent="0.3">
      <c r="A265" t="s">
        <v>437</v>
      </c>
      <c r="B265" t="s">
        <v>348</v>
      </c>
      <c r="C265" t="s">
        <v>71</v>
      </c>
      <c r="D265" t="s">
        <v>26</v>
      </c>
      <c r="E265" t="s">
        <v>46</v>
      </c>
      <c r="F265" t="s">
        <v>17</v>
      </c>
      <c r="G265">
        <v>5</v>
      </c>
      <c r="H265" s="3">
        <v>20000</v>
      </c>
      <c r="I265" s="3">
        <v>15000</v>
      </c>
      <c r="J265" s="3">
        <v>100000</v>
      </c>
      <c r="K265" s="3">
        <v>75000</v>
      </c>
      <c r="L265" s="3">
        <v>25000</v>
      </c>
      <c r="M265" s="5">
        <f t="shared" si="4"/>
        <v>0.25</v>
      </c>
    </row>
    <row r="266" spans="1:13" x14ac:dyDescent="0.3">
      <c r="A266" t="s">
        <v>453</v>
      </c>
      <c r="B266" t="s">
        <v>348</v>
      </c>
      <c r="C266" t="s">
        <v>71</v>
      </c>
      <c r="D266" t="s">
        <v>26</v>
      </c>
      <c r="E266" t="s">
        <v>46</v>
      </c>
      <c r="F266" t="s">
        <v>17</v>
      </c>
      <c r="G266">
        <v>9</v>
      </c>
      <c r="H266" s="3">
        <v>20000</v>
      </c>
      <c r="I266" s="3">
        <v>15000</v>
      </c>
      <c r="J266" s="3">
        <v>180000</v>
      </c>
      <c r="K266" s="3">
        <v>135000</v>
      </c>
      <c r="L266" s="3">
        <v>45000</v>
      </c>
      <c r="M266" s="5">
        <f t="shared" si="4"/>
        <v>0.25</v>
      </c>
    </row>
    <row r="267" spans="1:13" x14ac:dyDescent="0.3">
      <c r="A267" t="s">
        <v>143</v>
      </c>
      <c r="B267" t="s">
        <v>144</v>
      </c>
      <c r="C267" t="s">
        <v>71</v>
      </c>
      <c r="D267" t="s">
        <v>26</v>
      </c>
      <c r="E267" t="s">
        <v>27</v>
      </c>
      <c r="F267" t="s">
        <v>17</v>
      </c>
      <c r="G267">
        <v>6</v>
      </c>
      <c r="H267" s="3">
        <v>30000</v>
      </c>
      <c r="I267" s="3">
        <v>24000</v>
      </c>
      <c r="J267" s="3">
        <v>180000</v>
      </c>
      <c r="K267" s="3">
        <v>144000</v>
      </c>
      <c r="L267" s="3">
        <v>36000</v>
      </c>
      <c r="M267" s="5">
        <f t="shared" si="4"/>
        <v>0.2</v>
      </c>
    </row>
    <row r="268" spans="1:13" x14ac:dyDescent="0.3">
      <c r="A268" t="s">
        <v>182</v>
      </c>
      <c r="B268" t="s">
        <v>144</v>
      </c>
      <c r="C268" t="s">
        <v>71</v>
      </c>
      <c r="D268" t="s">
        <v>31</v>
      </c>
      <c r="E268" t="s">
        <v>46</v>
      </c>
      <c r="F268" t="s">
        <v>17</v>
      </c>
      <c r="G268">
        <v>10</v>
      </c>
      <c r="H268" s="3">
        <v>20000</v>
      </c>
      <c r="I268" s="3">
        <v>15000</v>
      </c>
      <c r="J268" s="3">
        <v>200000</v>
      </c>
      <c r="K268" s="3">
        <v>150000</v>
      </c>
      <c r="L268" s="3">
        <v>50000</v>
      </c>
      <c r="M268" s="5">
        <f t="shared" si="4"/>
        <v>0.25</v>
      </c>
    </row>
    <row r="269" spans="1:13" x14ac:dyDescent="0.3">
      <c r="A269" t="s">
        <v>294</v>
      </c>
      <c r="B269" t="s">
        <v>295</v>
      </c>
      <c r="C269" t="s">
        <v>71</v>
      </c>
      <c r="D269" t="s">
        <v>36</v>
      </c>
      <c r="E269" t="s">
        <v>27</v>
      </c>
      <c r="F269" t="s">
        <v>17</v>
      </c>
      <c r="G269">
        <v>4</v>
      </c>
      <c r="H269" s="3">
        <v>30000</v>
      </c>
      <c r="I269" s="3">
        <v>24000</v>
      </c>
      <c r="J269" s="3">
        <v>120000</v>
      </c>
      <c r="K269" s="3">
        <v>96000</v>
      </c>
      <c r="L269" s="3">
        <v>24000</v>
      </c>
      <c r="M269" s="5">
        <f t="shared" si="4"/>
        <v>0.2</v>
      </c>
    </row>
    <row r="270" spans="1:13" x14ac:dyDescent="0.3">
      <c r="A270" t="s">
        <v>459</v>
      </c>
      <c r="B270" t="s">
        <v>295</v>
      </c>
      <c r="C270" t="s">
        <v>71</v>
      </c>
      <c r="D270" t="s">
        <v>26</v>
      </c>
      <c r="E270" t="s">
        <v>16</v>
      </c>
      <c r="F270" t="s">
        <v>17</v>
      </c>
      <c r="G270">
        <v>10</v>
      </c>
      <c r="H270" s="3">
        <v>15000</v>
      </c>
      <c r="I270" s="3">
        <v>11000</v>
      </c>
      <c r="J270" s="3">
        <v>150000</v>
      </c>
      <c r="K270" s="3">
        <v>110000</v>
      </c>
      <c r="L270" s="3">
        <v>40000</v>
      </c>
      <c r="M270" s="5">
        <f t="shared" si="4"/>
        <v>0.26666666666666666</v>
      </c>
    </row>
    <row r="271" spans="1:13" x14ac:dyDescent="0.3">
      <c r="A271" t="s">
        <v>636</v>
      </c>
      <c r="B271" t="s">
        <v>295</v>
      </c>
      <c r="C271" t="s">
        <v>71</v>
      </c>
      <c r="D271" t="s">
        <v>31</v>
      </c>
      <c r="E271" t="s">
        <v>16</v>
      </c>
      <c r="F271" t="s">
        <v>17</v>
      </c>
      <c r="G271">
        <v>8</v>
      </c>
      <c r="H271" s="3">
        <v>15000</v>
      </c>
      <c r="I271" s="3">
        <v>11000</v>
      </c>
      <c r="J271" s="3">
        <v>120000</v>
      </c>
      <c r="K271" s="3">
        <v>88000</v>
      </c>
      <c r="L271" s="3">
        <v>32000</v>
      </c>
      <c r="M271" s="5">
        <f t="shared" si="4"/>
        <v>0.26666666666666666</v>
      </c>
    </row>
    <row r="272" spans="1:13" x14ac:dyDescent="0.3">
      <c r="A272" t="s">
        <v>298</v>
      </c>
      <c r="B272" t="s">
        <v>299</v>
      </c>
      <c r="C272" t="s">
        <v>71</v>
      </c>
      <c r="D272" t="s">
        <v>15</v>
      </c>
      <c r="E272" t="s">
        <v>21</v>
      </c>
      <c r="F272" t="s">
        <v>22</v>
      </c>
      <c r="G272">
        <v>7</v>
      </c>
      <c r="H272" s="3">
        <v>2000</v>
      </c>
      <c r="I272" s="3">
        <v>1200</v>
      </c>
      <c r="J272" s="3">
        <v>14000</v>
      </c>
      <c r="K272" s="3">
        <v>8400</v>
      </c>
      <c r="L272" s="3">
        <v>5600</v>
      </c>
      <c r="M272" s="5">
        <f t="shared" si="4"/>
        <v>0.4</v>
      </c>
    </row>
    <row r="273" spans="1:13" x14ac:dyDescent="0.3">
      <c r="A273" t="s">
        <v>481</v>
      </c>
      <c r="B273" t="s">
        <v>482</v>
      </c>
      <c r="C273" t="s">
        <v>71</v>
      </c>
      <c r="D273" t="s">
        <v>15</v>
      </c>
      <c r="E273" t="s">
        <v>62</v>
      </c>
      <c r="F273" t="s">
        <v>17</v>
      </c>
      <c r="G273">
        <v>8</v>
      </c>
      <c r="H273" s="3">
        <v>50000</v>
      </c>
      <c r="I273" s="3">
        <v>40000</v>
      </c>
      <c r="J273" s="3">
        <v>400000</v>
      </c>
      <c r="K273" s="3">
        <v>320000</v>
      </c>
      <c r="L273" s="3">
        <v>80000</v>
      </c>
      <c r="M273" s="5">
        <f t="shared" si="4"/>
        <v>0.2</v>
      </c>
    </row>
    <row r="274" spans="1:13" x14ac:dyDescent="0.3">
      <c r="A274" t="s">
        <v>265</v>
      </c>
      <c r="B274" t="s">
        <v>266</v>
      </c>
      <c r="C274" t="s">
        <v>71</v>
      </c>
      <c r="D274" t="s">
        <v>15</v>
      </c>
      <c r="E274" t="s">
        <v>16</v>
      </c>
      <c r="F274" t="s">
        <v>17</v>
      </c>
      <c r="G274">
        <v>10</v>
      </c>
      <c r="H274" s="3">
        <v>15000</v>
      </c>
      <c r="I274" s="3">
        <v>11000</v>
      </c>
      <c r="J274" s="3">
        <v>150000</v>
      </c>
      <c r="K274" s="3">
        <v>110000</v>
      </c>
      <c r="L274" s="3">
        <v>40000</v>
      </c>
      <c r="M274" s="5">
        <f t="shared" si="4"/>
        <v>0.26666666666666666</v>
      </c>
    </row>
    <row r="275" spans="1:13" x14ac:dyDescent="0.3">
      <c r="A275" t="s">
        <v>428</v>
      </c>
      <c r="B275" t="s">
        <v>429</v>
      </c>
      <c r="C275" t="s">
        <v>71</v>
      </c>
      <c r="D275" t="s">
        <v>36</v>
      </c>
      <c r="E275" t="s">
        <v>62</v>
      </c>
      <c r="F275" t="s">
        <v>17</v>
      </c>
      <c r="G275">
        <v>10</v>
      </c>
      <c r="H275" s="3">
        <v>50000</v>
      </c>
      <c r="I275" s="3">
        <v>40000</v>
      </c>
      <c r="J275" s="3">
        <v>500000</v>
      </c>
      <c r="K275" s="3">
        <v>400000</v>
      </c>
      <c r="L275" s="3">
        <v>100000</v>
      </c>
      <c r="M275" s="5">
        <f t="shared" si="4"/>
        <v>0.2</v>
      </c>
    </row>
    <row r="276" spans="1:13" x14ac:dyDescent="0.3">
      <c r="A276" t="s">
        <v>470</v>
      </c>
      <c r="B276" t="s">
        <v>429</v>
      </c>
      <c r="C276" t="s">
        <v>71</v>
      </c>
      <c r="D276" t="s">
        <v>36</v>
      </c>
      <c r="E276" t="s">
        <v>27</v>
      </c>
      <c r="F276" t="s">
        <v>17</v>
      </c>
      <c r="G276">
        <v>2</v>
      </c>
      <c r="H276" s="3">
        <v>30000</v>
      </c>
      <c r="I276" s="3">
        <v>24000</v>
      </c>
      <c r="J276" s="3">
        <v>60000</v>
      </c>
      <c r="K276" s="3">
        <v>48000</v>
      </c>
      <c r="L276" s="3">
        <v>12000</v>
      </c>
      <c r="M276" s="5">
        <f t="shared" si="4"/>
        <v>0.2</v>
      </c>
    </row>
    <row r="277" spans="1:13" x14ac:dyDescent="0.3">
      <c r="A277" t="s">
        <v>523</v>
      </c>
      <c r="B277" t="s">
        <v>429</v>
      </c>
      <c r="C277" t="s">
        <v>71</v>
      </c>
      <c r="D277" t="s">
        <v>31</v>
      </c>
      <c r="E277" t="s">
        <v>16</v>
      </c>
      <c r="F277" t="s">
        <v>17</v>
      </c>
      <c r="G277">
        <v>4</v>
      </c>
      <c r="H277" s="3">
        <v>15000</v>
      </c>
      <c r="I277" s="3">
        <v>11000</v>
      </c>
      <c r="J277" s="3">
        <v>60000</v>
      </c>
      <c r="K277" s="3">
        <v>44000</v>
      </c>
      <c r="L277" s="3">
        <v>16000</v>
      </c>
      <c r="M277" s="5">
        <f t="shared" si="4"/>
        <v>0.26666666666666666</v>
      </c>
    </row>
    <row r="278" spans="1:13" x14ac:dyDescent="0.3">
      <c r="A278" t="s">
        <v>95</v>
      </c>
      <c r="B278" t="s">
        <v>96</v>
      </c>
      <c r="C278" t="s">
        <v>71</v>
      </c>
      <c r="D278" t="s">
        <v>36</v>
      </c>
      <c r="E278" t="s">
        <v>46</v>
      </c>
      <c r="F278" t="s">
        <v>17</v>
      </c>
      <c r="G278">
        <v>1</v>
      </c>
      <c r="H278" s="3">
        <v>20000</v>
      </c>
      <c r="I278" s="3">
        <v>15000</v>
      </c>
      <c r="J278" s="3">
        <v>20000</v>
      </c>
      <c r="K278" s="3">
        <v>15000</v>
      </c>
      <c r="L278" s="3">
        <v>5000</v>
      </c>
      <c r="M278" s="5">
        <f t="shared" si="4"/>
        <v>0.25</v>
      </c>
    </row>
    <row r="279" spans="1:13" x14ac:dyDescent="0.3">
      <c r="A279" t="s">
        <v>163</v>
      </c>
      <c r="B279" t="s">
        <v>96</v>
      </c>
      <c r="C279" t="s">
        <v>71</v>
      </c>
      <c r="D279" t="s">
        <v>31</v>
      </c>
      <c r="E279" t="s">
        <v>16</v>
      </c>
      <c r="F279" t="s">
        <v>17</v>
      </c>
      <c r="G279">
        <v>10</v>
      </c>
      <c r="H279" s="3">
        <v>15000</v>
      </c>
      <c r="I279" s="3">
        <v>11000</v>
      </c>
      <c r="J279" s="3">
        <v>150000</v>
      </c>
      <c r="K279" s="3">
        <v>110000</v>
      </c>
      <c r="L279" s="3">
        <v>40000</v>
      </c>
      <c r="M279" s="5">
        <f t="shared" si="4"/>
        <v>0.26666666666666666</v>
      </c>
    </row>
    <row r="280" spans="1:13" x14ac:dyDescent="0.3">
      <c r="A280" t="s">
        <v>556</v>
      </c>
      <c r="B280" t="s">
        <v>96</v>
      </c>
      <c r="C280" t="s">
        <v>71</v>
      </c>
      <c r="D280" t="s">
        <v>31</v>
      </c>
      <c r="E280" t="s">
        <v>46</v>
      </c>
      <c r="F280" t="s">
        <v>17</v>
      </c>
      <c r="G280">
        <v>1</v>
      </c>
      <c r="H280" s="3">
        <v>20000</v>
      </c>
      <c r="I280" s="3">
        <v>15000</v>
      </c>
      <c r="J280" s="3">
        <v>20000</v>
      </c>
      <c r="K280" s="3">
        <v>15000</v>
      </c>
      <c r="L280" s="3">
        <v>5000</v>
      </c>
      <c r="M280" s="5">
        <f t="shared" si="4"/>
        <v>0.25</v>
      </c>
    </row>
    <row r="281" spans="1:13" x14ac:dyDescent="0.3">
      <c r="A281" t="s">
        <v>589</v>
      </c>
      <c r="B281" t="s">
        <v>96</v>
      </c>
      <c r="C281" t="s">
        <v>71</v>
      </c>
      <c r="D281" t="s">
        <v>31</v>
      </c>
      <c r="E281" t="s">
        <v>46</v>
      </c>
      <c r="F281" t="s">
        <v>17</v>
      </c>
      <c r="G281">
        <v>7</v>
      </c>
      <c r="H281" s="3">
        <v>20000</v>
      </c>
      <c r="I281" s="3">
        <v>15000</v>
      </c>
      <c r="J281" s="3">
        <v>140000</v>
      </c>
      <c r="K281" s="3">
        <v>105000</v>
      </c>
      <c r="L281" s="3">
        <v>35000</v>
      </c>
      <c r="M281" s="5">
        <f t="shared" si="4"/>
        <v>0.25</v>
      </c>
    </row>
    <row r="282" spans="1:13" x14ac:dyDescent="0.3">
      <c r="A282" t="s">
        <v>651</v>
      </c>
      <c r="B282" t="s">
        <v>96</v>
      </c>
      <c r="C282" t="s">
        <v>71</v>
      </c>
      <c r="D282" t="s">
        <v>36</v>
      </c>
      <c r="E282" t="s">
        <v>46</v>
      </c>
      <c r="F282" t="s">
        <v>17</v>
      </c>
      <c r="G282">
        <v>2</v>
      </c>
      <c r="H282" s="3">
        <v>20000</v>
      </c>
      <c r="I282" s="3">
        <v>15000</v>
      </c>
      <c r="J282" s="3">
        <v>40000</v>
      </c>
      <c r="K282" s="3">
        <v>30000</v>
      </c>
      <c r="L282" s="3">
        <v>10000</v>
      </c>
      <c r="M282" s="5">
        <f t="shared" si="4"/>
        <v>0.25</v>
      </c>
    </row>
    <row r="283" spans="1:13" x14ac:dyDescent="0.3">
      <c r="A283" t="s">
        <v>69</v>
      </c>
      <c r="B283" t="s">
        <v>70</v>
      </c>
      <c r="C283" t="s">
        <v>71</v>
      </c>
      <c r="D283" t="s">
        <v>36</v>
      </c>
      <c r="E283" t="s">
        <v>27</v>
      </c>
      <c r="F283" t="s">
        <v>17</v>
      </c>
      <c r="G283">
        <v>7</v>
      </c>
      <c r="H283" s="3">
        <v>30000</v>
      </c>
      <c r="I283" s="3">
        <v>24000</v>
      </c>
      <c r="J283" s="3">
        <v>210000</v>
      </c>
      <c r="K283" s="3">
        <v>168000</v>
      </c>
      <c r="L283" s="3">
        <v>42000</v>
      </c>
      <c r="M283" s="5">
        <f t="shared" si="4"/>
        <v>0.2</v>
      </c>
    </row>
    <row r="284" spans="1:13" x14ac:dyDescent="0.3">
      <c r="A284" t="s">
        <v>238</v>
      </c>
      <c r="B284" t="s">
        <v>70</v>
      </c>
      <c r="C284" t="s">
        <v>71</v>
      </c>
      <c r="D284" t="s">
        <v>31</v>
      </c>
      <c r="E284" t="s">
        <v>62</v>
      </c>
      <c r="F284" t="s">
        <v>17</v>
      </c>
      <c r="G284">
        <v>6</v>
      </c>
      <c r="H284" s="3">
        <v>50000</v>
      </c>
      <c r="I284" s="3">
        <v>40000</v>
      </c>
      <c r="J284" s="3">
        <v>300000</v>
      </c>
      <c r="K284" s="3">
        <v>240000</v>
      </c>
      <c r="L284" s="3">
        <v>60000</v>
      </c>
      <c r="M284" s="5">
        <f t="shared" si="4"/>
        <v>0.2</v>
      </c>
    </row>
    <row r="285" spans="1:13" x14ac:dyDescent="0.3">
      <c r="A285" t="s">
        <v>661</v>
      </c>
      <c r="B285" t="s">
        <v>662</v>
      </c>
      <c r="C285" t="s">
        <v>71</v>
      </c>
      <c r="D285" t="s">
        <v>36</v>
      </c>
      <c r="E285" t="s">
        <v>16</v>
      </c>
      <c r="F285" t="s">
        <v>17</v>
      </c>
      <c r="G285">
        <v>5</v>
      </c>
      <c r="H285" s="3">
        <v>15000</v>
      </c>
      <c r="I285" s="3">
        <v>11000</v>
      </c>
      <c r="J285" s="3">
        <v>75000</v>
      </c>
      <c r="K285" s="3">
        <v>55000</v>
      </c>
      <c r="L285" s="3">
        <v>20000</v>
      </c>
      <c r="M285" s="5">
        <f t="shared" si="4"/>
        <v>0.26666666666666666</v>
      </c>
    </row>
    <row r="286" spans="1:13" x14ac:dyDescent="0.3">
      <c r="A286" t="s">
        <v>223</v>
      </c>
      <c r="B286" t="s">
        <v>224</v>
      </c>
      <c r="C286" t="s">
        <v>71</v>
      </c>
      <c r="D286" t="s">
        <v>31</v>
      </c>
      <c r="E286" t="s">
        <v>46</v>
      </c>
      <c r="F286" t="s">
        <v>17</v>
      </c>
      <c r="G286">
        <v>3</v>
      </c>
      <c r="H286" s="3">
        <v>20000</v>
      </c>
      <c r="I286" s="3">
        <v>15000</v>
      </c>
      <c r="J286" s="3">
        <v>60000</v>
      </c>
      <c r="K286" s="3">
        <v>45000</v>
      </c>
      <c r="L286" s="3">
        <v>15000</v>
      </c>
      <c r="M286" s="5">
        <f t="shared" si="4"/>
        <v>0.25</v>
      </c>
    </row>
    <row r="287" spans="1:13" x14ac:dyDescent="0.3">
      <c r="A287" t="s">
        <v>280</v>
      </c>
      <c r="B287" t="s">
        <v>224</v>
      </c>
      <c r="C287" t="s">
        <v>71</v>
      </c>
      <c r="D287" t="s">
        <v>15</v>
      </c>
      <c r="E287" t="s">
        <v>16</v>
      </c>
      <c r="F287" t="s">
        <v>17</v>
      </c>
      <c r="G287">
        <v>6</v>
      </c>
      <c r="H287" s="3">
        <v>15000</v>
      </c>
      <c r="I287" s="3">
        <v>11000</v>
      </c>
      <c r="J287" s="3">
        <v>90000</v>
      </c>
      <c r="K287" s="3">
        <v>66000</v>
      </c>
      <c r="L287" s="3">
        <v>24000</v>
      </c>
      <c r="M287" s="5">
        <f t="shared" si="4"/>
        <v>0.26666666666666666</v>
      </c>
    </row>
    <row r="288" spans="1:13" x14ac:dyDescent="0.3">
      <c r="A288" t="s">
        <v>300</v>
      </c>
      <c r="B288" t="s">
        <v>301</v>
      </c>
      <c r="C288" t="s">
        <v>71</v>
      </c>
      <c r="D288" t="s">
        <v>36</v>
      </c>
      <c r="E288" t="s">
        <v>46</v>
      </c>
      <c r="F288" t="s">
        <v>17</v>
      </c>
      <c r="G288">
        <v>6</v>
      </c>
      <c r="H288" s="3">
        <v>20000</v>
      </c>
      <c r="I288" s="3">
        <v>15000</v>
      </c>
      <c r="J288" s="3">
        <v>120000</v>
      </c>
      <c r="K288" s="3">
        <v>90000</v>
      </c>
      <c r="L288" s="3">
        <v>30000</v>
      </c>
      <c r="M288" s="5">
        <f t="shared" si="4"/>
        <v>0.25</v>
      </c>
    </row>
    <row r="289" spans="1:13" x14ac:dyDescent="0.3">
      <c r="A289" t="s">
        <v>155</v>
      </c>
      <c r="B289" t="s">
        <v>156</v>
      </c>
      <c r="C289" t="s">
        <v>71</v>
      </c>
      <c r="D289" t="s">
        <v>36</v>
      </c>
      <c r="E289" t="s">
        <v>62</v>
      </c>
      <c r="F289" t="s">
        <v>17</v>
      </c>
      <c r="G289">
        <v>1</v>
      </c>
      <c r="H289" s="3">
        <v>50000</v>
      </c>
      <c r="I289" s="3">
        <v>40000</v>
      </c>
      <c r="J289" s="3">
        <v>50000</v>
      </c>
      <c r="K289" s="3">
        <v>40000</v>
      </c>
      <c r="L289" s="3">
        <v>10000</v>
      </c>
      <c r="M289" s="5">
        <f t="shared" si="4"/>
        <v>0.2</v>
      </c>
    </row>
    <row r="290" spans="1:13" x14ac:dyDescent="0.3">
      <c r="A290" t="s">
        <v>666</v>
      </c>
      <c r="B290" t="s">
        <v>667</v>
      </c>
      <c r="C290" t="s">
        <v>71</v>
      </c>
      <c r="D290" t="s">
        <v>36</v>
      </c>
      <c r="E290" t="s">
        <v>16</v>
      </c>
      <c r="F290" t="s">
        <v>17</v>
      </c>
      <c r="G290">
        <v>1</v>
      </c>
      <c r="H290" s="3">
        <v>15000</v>
      </c>
      <c r="I290" s="3">
        <v>11000</v>
      </c>
      <c r="J290" s="3">
        <v>15000</v>
      </c>
      <c r="K290" s="3">
        <v>11000</v>
      </c>
      <c r="L290" s="3">
        <v>4000</v>
      </c>
      <c r="M290" s="5">
        <f t="shared" si="4"/>
        <v>0.26666666666666666</v>
      </c>
    </row>
    <row r="291" spans="1:13" x14ac:dyDescent="0.3">
      <c r="A291" t="s">
        <v>166</v>
      </c>
      <c r="B291" t="s">
        <v>167</v>
      </c>
      <c r="C291" t="s">
        <v>71</v>
      </c>
      <c r="D291" t="s">
        <v>15</v>
      </c>
      <c r="E291" t="s">
        <v>46</v>
      </c>
      <c r="F291" t="s">
        <v>17</v>
      </c>
      <c r="G291">
        <v>4</v>
      </c>
      <c r="H291" s="3">
        <v>20000</v>
      </c>
      <c r="I291" s="3">
        <v>15000</v>
      </c>
      <c r="J291" s="3">
        <v>80000</v>
      </c>
      <c r="K291" s="3">
        <v>60000</v>
      </c>
      <c r="L291" s="3">
        <v>20000</v>
      </c>
      <c r="M291" s="5">
        <f t="shared" si="4"/>
        <v>0.25</v>
      </c>
    </row>
    <row r="292" spans="1:13" x14ac:dyDescent="0.3">
      <c r="A292" t="s">
        <v>213</v>
      </c>
      <c r="B292" t="s">
        <v>214</v>
      </c>
      <c r="C292" t="s">
        <v>71</v>
      </c>
      <c r="D292" t="s">
        <v>26</v>
      </c>
      <c r="E292" t="s">
        <v>46</v>
      </c>
      <c r="F292" t="s">
        <v>17</v>
      </c>
      <c r="G292">
        <v>10</v>
      </c>
      <c r="H292" s="3">
        <v>20000</v>
      </c>
      <c r="I292" s="3">
        <v>15000</v>
      </c>
      <c r="J292" s="3">
        <v>200000</v>
      </c>
      <c r="K292" s="3">
        <v>150000</v>
      </c>
      <c r="L292" s="3">
        <v>50000</v>
      </c>
      <c r="M292" s="5">
        <f t="shared" si="4"/>
        <v>0.25</v>
      </c>
    </row>
    <row r="293" spans="1:13" x14ac:dyDescent="0.3">
      <c r="A293" t="s">
        <v>646</v>
      </c>
      <c r="B293" t="s">
        <v>214</v>
      </c>
      <c r="C293" t="s">
        <v>71</v>
      </c>
      <c r="D293" t="s">
        <v>26</v>
      </c>
      <c r="E293" t="s">
        <v>21</v>
      </c>
      <c r="F293" t="s">
        <v>22</v>
      </c>
      <c r="G293">
        <v>5</v>
      </c>
      <c r="H293" s="3">
        <v>2000</v>
      </c>
      <c r="I293" s="3">
        <v>1200</v>
      </c>
      <c r="J293" s="3">
        <v>10000</v>
      </c>
      <c r="K293" s="3">
        <v>6000</v>
      </c>
      <c r="L293" s="3">
        <v>4000</v>
      </c>
      <c r="M293" s="5">
        <f t="shared" si="4"/>
        <v>0.4</v>
      </c>
    </row>
    <row r="294" spans="1:13" x14ac:dyDescent="0.3">
      <c r="A294" t="s">
        <v>86</v>
      </c>
      <c r="B294" t="s">
        <v>87</v>
      </c>
      <c r="C294" t="s">
        <v>71</v>
      </c>
      <c r="D294" t="s">
        <v>26</v>
      </c>
      <c r="E294" t="s">
        <v>21</v>
      </c>
      <c r="F294" t="s">
        <v>22</v>
      </c>
      <c r="G294">
        <v>8</v>
      </c>
      <c r="H294" s="3">
        <v>2000</v>
      </c>
      <c r="I294" s="3">
        <v>1200</v>
      </c>
      <c r="J294" s="3">
        <v>16000</v>
      </c>
      <c r="K294" s="3">
        <v>9600</v>
      </c>
      <c r="L294" s="3">
        <v>6400</v>
      </c>
      <c r="M294" s="5">
        <f t="shared" si="4"/>
        <v>0.4</v>
      </c>
    </row>
    <row r="295" spans="1:13" x14ac:dyDescent="0.3">
      <c r="A295" t="s">
        <v>357</v>
      </c>
      <c r="B295" t="s">
        <v>358</v>
      </c>
      <c r="C295" t="s">
        <v>71</v>
      </c>
      <c r="D295" t="s">
        <v>26</v>
      </c>
      <c r="E295" t="s">
        <v>46</v>
      </c>
      <c r="F295" t="s">
        <v>17</v>
      </c>
      <c r="G295">
        <v>6</v>
      </c>
      <c r="H295" s="3">
        <v>20000</v>
      </c>
      <c r="I295" s="3">
        <v>15000</v>
      </c>
      <c r="J295" s="3">
        <v>120000</v>
      </c>
      <c r="K295" s="3">
        <v>90000</v>
      </c>
      <c r="L295" s="3">
        <v>30000</v>
      </c>
      <c r="M295" s="5">
        <f t="shared" si="4"/>
        <v>0.25</v>
      </c>
    </row>
    <row r="296" spans="1:13" x14ac:dyDescent="0.3">
      <c r="A296" t="s">
        <v>202</v>
      </c>
      <c r="B296" t="s">
        <v>203</v>
      </c>
      <c r="C296" t="s">
        <v>71</v>
      </c>
      <c r="D296" t="s">
        <v>36</v>
      </c>
      <c r="E296" t="s">
        <v>46</v>
      </c>
      <c r="F296" t="s">
        <v>17</v>
      </c>
      <c r="G296">
        <v>3</v>
      </c>
      <c r="H296" s="3">
        <v>20000</v>
      </c>
      <c r="I296" s="3">
        <v>15000</v>
      </c>
      <c r="J296" s="3">
        <v>60000</v>
      </c>
      <c r="K296" s="3">
        <v>45000</v>
      </c>
      <c r="L296" s="3">
        <v>15000</v>
      </c>
      <c r="M296" s="5">
        <f t="shared" si="4"/>
        <v>0.25</v>
      </c>
    </row>
    <row r="297" spans="1:13" x14ac:dyDescent="0.3">
      <c r="A297" t="s">
        <v>106</v>
      </c>
      <c r="B297" t="s">
        <v>107</v>
      </c>
      <c r="C297" t="s">
        <v>71</v>
      </c>
      <c r="D297" t="s">
        <v>31</v>
      </c>
      <c r="E297" t="s">
        <v>21</v>
      </c>
      <c r="F297" t="s">
        <v>22</v>
      </c>
      <c r="G297">
        <v>1</v>
      </c>
      <c r="H297" s="3">
        <v>2000</v>
      </c>
      <c r="I297" s="3">
        <v>1200</v>
      </c>
      <c r="J297" s="3">
        <v>2000</v>
      </c>
      <c r="K297" s="3">
        <v>1200</v>
      </c>
      <c r="L297" s="3">
        <v>800</v>
      </c>
      <c r="M297" s="5">
        <f t="shared" si="4"/>
        <v>0.4</v>
      </c>
    </row>
    <row r="298" spans="1:13" x14ac:dyDescent="0.3">
      <c r="A298" t="s">
        <v>584</v>
      </c>
      <c r="B298" t="s">
        <v>107</v>
      </c>
      <c r="C298" t="s">
        <v>71</v>
      </c>
      <c r="D298" t="s">
        <v>15</v>
      </c>
      <c r="E298" t="s">
        <v>46</v>
      </c>
      <c r="F298" t="s">
        <v>17</v>
      </c>
      <c r="G298">
        <v>5</v>
      </c>
      <c r="H298" s="3">
        <v>20000</v>
      </c>
      <c r="I298" s="3">
        <v>15000</v>
      </c>
      <c r="J298" s="3">
        <v>100000</v>
      </c>
      <c r="K298" s="3">
        <v>75000</v>
      </c>
      <c r="L298" s="3">
        <v>25000</v>
      </c>
      <c r="M298" s="5">
        <f t="shared" si="4"/>
        <v>0.25</v>
      </c>
    </row>
    <row r="299" spans="1:13" x14ac:dyDescent="0.3">
      <c r="A299" t="s">
        <v>495</v>
      </c>
      <c r="B299" t="s">
        <v>496</v>
      </c>
      <c r="C299" t="s">
        <v>30</v>
      </c>
      <c r="D299" t="s">
        <v>36</v>
      </c>
      <c r="E299" t="s">
        <v>27</v>
      </c>
      <c r="F299" t="s">
        <v>17</v>
      </c>
      <c r="G299">
        <v>8</v>
      </c>
      <c r="H299" s="3">
        <v>30000</v>
      </c>
      <c r="I299" s="3">
        <v>24000</v>
      </c>
      <c r="J299" s="3">
        <v>240000</v>
      </c>
      <c r="K299" s="3">
        <v>192000</v>
      </c>
      <c r="L299" s="3">
        <v>48000</v>
      </c>
      <c r="M299" s="5">
        <f t="shared" si="4"/>
        <v>0.2</v>
      </c>
    </row>
    <row r="300" spans="1:13" x14ac:dyDescent="0.3">
      <c r="A300" t="s">
        <v>524</v>
      </c>
      <c r="B300" t="s">
        <v>496</v>
      </c>
      <c r="C300" t="s">
        <v>30</v>
      </c>
      <c r="D300" t="s">
        <v>31</v>
      </c>
      <c r="E300" t="s">
        <v>46</v>
      </c>
      <c r="F300" t="s">
        <v>17</v>
      </c>
      <c r="G300">
        <v>5</v>
      </c>
      <c r="H300" s="3">
        <v>20000</v>
      </c>
      <c r="I300" s="3">
        <v>15000</v>
      </c>
      <c r="J300" s="3">
        <v>100000</v>
      </c>
      <c r="K300" s="3">
        <v>75000</v>
      </c>
      <c r="L300" s="3">
        <v>25000</v>
      </c>
      <c r="M300" s="5">
        <f t="shared" si="4"/>
        <v>0.25</v>
      </c>
    </row>
    <row r="301" spans="1:13" x14ac:dyDescent="0.3">
      <c r="A301" t="s">
        <v>639</v>
      </c>
      <c r="B301" t="s">
        <v>640</v>
      </c>
      <c r="C301" t="s">
        <v>30</v>
      </c>
      <c r="D301" t="s">
        <v>26</v>
      </c>
      <c r="E301" t="s">
        <v>16</v>
      </c>
      <c r="F301" t="s">
        <v>17</v>
      </c>
      <c r="G301">
        <v>9</v>
      </c>
      <c r="H301" s="3">
        <v>15000</v>
      </c>
      <c r="I301" s="3">
        <v>11000</v>
      </c>
      <c r="J301" s="3">
        <v>135000</v>
      </c>
      <c r="K301" s="3">
        <v>99000</v>
      </c>
      <c r="L301" s="3">
        <v>36000</v>
      </c>
      <c r="M301" s="5">
        <f t="shared" si="4"/>
        <v>0.26666666666666666</v>
      </c>
    </row>
    <row r="302" spans="1:13" x14ac:dyDescent="0.3">
      <c r="A302" t="s">
        <v>647</v>
      </c>
      <c r="B302" t="s">
        <v>648</v>
      </c>
      <c r="C302" t="s">
        <v>30</v>
      </c>
      <c r="D302" t="s">
        <v>36</v>
      </c>
      <c r="E302" t="s">
        <v>16</v>
      </c>
      <c r="F302" t="s">
        <v>17</v>
      </c>
      <c r="G302">
        <v>9</v>
      </c>
      <c r="H302" s="3">
        <v>15000</v>
      </c>
      <c r="I302" s="3">
        <v>11000</v>
      </c>
      <c r="J302" s="3">
        <v>135000</v>
      </c>
      <c r="K302" s="3">
        <v>99000</v>
      </c>
      <c r="L302" s="3">
        <v>36000</v>
      </c>
      <c r="M302" s="5">
        <f t="shared" si="4"/>
        <v>0.26666666666666666</v>
      </c>
    </row>
    <row r="303" spans="1:13" x14ac:dyDescent="0.3">
      <c r="A303" t="s">
        <v>652</v>
      </c>
      <c r="B303" t="s">
        <v>653</v>
      </c>
      <c r="C303" t="s">
        <v>30</v>
      </c>
      <c r="D303" t="s">
        <v>36</v>
      </c>
      <c r="E303" t="s">
        <v>21</v>
      </c>
      <c r="F303" t="s">
        <v>22</v>
      </c>
      <c r="G303">
        <v>2</v>
      </c>
      <c r="H303" s="3">
        <v>2000</v>
      </c>
      <c r="I303" s="3">
        <v>1200</v>
      </c>
      <c r="J303" s="3">
        <v>4000</v>
      </c>
      <c r="K303" s="3">
        <v>2400</v>
      </c>
      <c r="L303" s="3">
        <v>1600</v>
      </c>
      <c r="M303" s="5">
        <f t="shared" si="4"/>
        <v>0.4</v>
      </c>
    </row>
    <row r="304" spans="1:13" x14ac:dyDescent="0.3">
      <c r="A304" t="s">
        <v>408</v>
      </c>
      <c r="B304" t="s">
        <v>409</v>
      </c>
      <c r="C304" t="s">
        <v>30</v>
      </c>
      <c r="D304" t="s">
        <v>15</v>
      </c>
      <c r="E304" t="s">
        <v>21</v>
      </c>
      <c r="F304" t="s">
        <v>22</v>
      </c>
      <c r="G304">
        <v>8</v>
      </c>
      <c r="H304" s="3">
        <v>2000</v>
      </c>
      <c r="I304" s="3">
        <v>1200</v>
      </c>
      <c r="J304" s="3">
        <v>16000</v>
      </c>
      <c r="K304" s="3">
        <v>9600</v>
      </c>
      <c r="L304" s="3">
        <v>6400</v>
      </c>
      <c r="M304" s="5">
        <f t="shared" si="4"/>
        <v>0.4</v>
      </c>
    </row>
    <row r="305" spans="1:13" x14ac:dyDescent="0.3">
      <c r="A305" t="s">
        <v>659</v>
      </c>
      <c r="B305" t="s">
        <v>660</v>
      </c>
      <c r="C305" t="s">
        <v>30</v>
      </c>
      <c r="D305" t="s">
        <v>36</v>
      </c>
      <c r="E305" t="s">
        <v>62</v>
      </c>
      <c r="F305" t="s">
        <v>17</v>
      </c>
      <c r="G305">
        <v>6</v>
      </c>
      <c r="H305" s="3">
        <v>50000</v>
      </c>
      <c r="I305" s="3">
        <v>40000</v>
      </c>
      <c r="J305" s="3">
        <v>300000</v>
      </c>
      <c r="K305" s="3">
        <v>240000</v>
      </c>
      <c r="L305" s="3">
        <v>60000</v>
      </c>
      <c r="M305" s="5">
        <f t="shared" si="4"/>
        <v>0.2</v>
      </c>
    </row>
    <row r="306" spans="1:13" x14ac:dyDescent="0.3">
      <c r="A306" t="s">
        <v>506</v>
      </c>
      <c r="B306" t="s">
        <v>507</v>
      </c>
      <c r="C306" t="s">
        <v>30</v>
      </c>
      <c r="D306" t="s">
        <v>15</v>
      </c>
      <c r="E306" t="s">
        <v>27</v>
      </c>
      <c r="F306" t="s">
        <v>17</v>
      </c>
      <c r="G306">
        <v>4</v>
      </c>
      <c r="H306" s="3">
        <v>30000</v>
      </c>
      <c r="I306" s="3">
        <v>24000</v>
      </c>
      <c r="J306" s="3">
        <v>120000</v>
      </c>
      <c r="K306" s="3">
        <v>96000</v>
      </c>
      <c r="L306" s="3">
        <v>24000</v>
      </c>
      <c r="M306" s="5">
        <f t="shared" si="4"/>
        <v>0.2</v>
      </c>
    </row>
    <row r="307" spans="1:13" x14ac:dyDescent="0.3">
      <c r="A307" t="s">
        <v>411</v>
      </c>
      <c r="B307" t="s">
        <v>412</v>
      </c>
      <c r="C307" t="s">
        <v>30</v>
      </c>
      <c r="D307" t="s">
        <v>26</v>
      </c>
      <c r="E307" t="s">
        <v>62</v>
      </c>
      <c r="F307" t="s">
        <v>17</v>
      </c>
      <c r="G307">
        <v>2</v>
      </c>
      <c r="H307" s="3">
        <v>50000</v>
      </c>
      <c r="I307" s="3">
        <v>40000</v>
      </c>
      <c r="J307" s="3">
        <v>100000</v>
      </c>
      <c r="K307" s="3">
        <v>80000</v>
      </c>
      <c r="L307" s="3">
        <v>20000</v>
      </c>
      <c r="M307" s="5">
        <f t="shared" si="4"/>
        <v>0.2</v>
      </c>
    </row>
    <row r="308" spans="1:13" x14ac:dyDescent="0.3">
      <c r="A308" t="s">
        <v>135</v>
      </c>
      <c r="B308" t="s">
        <v>136</v>
      </c>
      <c r="C308" t="s">
        <v>30</v>
      </c>
      <c r="D308" t="s">
        <v>31</v>
      </c>
      <c r="E308" t="s">
        <v>62</v>
      </c>
      <c r="F308" t="s">
        <v>17</v>
      </c>
      <c r="G308">
        <v>8</v>
      </c>
      <c r="H308" s="3">
        <v>50000</v>
      </c>
      <c r="I308" s="3">
        <v>40000</v>
      </c>
      <c r="J308" s="3">
        <v>400000</v>
      </c>
      <c r="K308" s="3">
        <v>320000</v>
      </c>
      <c r="L308" s="3">
        <v>80000</v>
      </c>
      <c r="M308" s="5">
        <f t="shared" si="4"/>
        <v>0.2</v>
      </c>
    </row>
    <row r="309" spans="1:13" x14ac:dyDescent="0.3">
      <c r="A309" t="s">
        <v>627</v>
      </c>
      <c r="B309" t="s">
        <v>136</v>
      </c>
      <c r="C309" t="s">
        <v>30</v>
      </c>
      <c r="D309" t="s">
        <v>26</v>
      </c>
      <c r="E309" t="s">
        <v>46</v>
      </c>
      <c r="F309" t="s">
        <v>17</v>
      </c>
      <c r="G309">
        <v>1</v>
      </c>
      <c r="H309" s="3">
        <v>20000</v>
      </c>
      <c r="I309" s="3">
        <v>15000</v>
      </c>
      <c r="J309" s="3">
        <v>20000</v>
      </c>
      <c r="K309" s="3">
        <v>15000</v>
      </c>
      <c r="L309" s="3">
        <v>5000</v>
      </c>
      <c r="M309" s="5">
        <f t="shared" si="4"/>
        <v>0.25</v>
      </c>
    </row>
    <row r="310" spans="1:13" x14ac:dyDescent="0.3">
      <c r="A310" t="s">
        <v>211</v>
      </c>
      <c r="B310" t="s">
        <v>212</v>
      </c>
      <c r="C310" t="s">
        <v>30</v>
      </c>
      <c r="D310" t="s">
        <v>26</v>
      </c>
      <c r="E310" t="s">
        <v>21</v>
      </c>
      <c r="F310" t="s">
        <v>22</v>
      </c>
      <c r="G310">
        <v>8</v>
      </c>
      <c r="H310" s="3">
        <v>2000</v>
      </c>
      <c r="I310" s="3">
        <v>1200</v>
      </c>
      <c r="J310" s="3">
        <v>16000</v>
      </c>
      <c r="K310" s="3">
        <v>9600</v>
      </c>
      <c r="L310" s="3">
        <v>6400</v>
      </c>
      <c r="M310" s="5">
        <f t="shared" si="4"/>
        <v>0.4</v>
      </c>
    </row>
    <row r="311" spans="1:13" x14ac:dyDescent="0.3">
      <c r="A311" t="s">
        <v>230</v>
      </c>
      <c r="B311" t="s">
        <v>231</v>
      </c>
      <c r="C311" t="s">
        <v>30</v>
      </c>
      <c r="D311" t="s">
        <v>31</v>
      </c>
      <c r="E311" t="s">
        <v>21</v>
      </c>
      <c r="F311" t="s">
        <v>22</v>
      </c>
      <c r="G311">
        <v>10</v>
      </c>
      <c r="H311" s="3">
        <v>2000</v>
      </c>
      <c r="I311" s="3">
        <v>1200</v>
      </c>
      <c r="J311" s="3">
        <v>20000</v>
      </c>
      <c r="K311" s="3">
        <v>12000</v>
      </c>
      <c r="L311" s="3">
        <v>8000</v>
      </c>
      <c r="M311" s="5">
        <f t="shared" si="4"/>
        <v>0.4</v>
      </c>
    </row>
    <row r="312" spans="1:13" x14ac:dyDescent="0.3">
      <c r="A312" t="s">
        <v>407</v>
      </c>
      <c r="B312" t="s">
        <v>231</v>
      </c>
      <c r="C312" t="s">
        <v>30</v>
      </c>
      <c r="D312" t="s">
        <v>31</v>
      </c>
      <c r="E312" t="s">
        <v>16</v>
      </c>
      <c r="F312" t="s">
        <v>17</v>
      </c>
      <c r="G312">
        <v>10</v>
      </c>
      <c r="H312" s="3">
        <v>15000</v>
      </c>
      <c r="I312" s="3">
        <v>11000</v>
      </c>
      <c r="J312" s="3">
        <v>150000</v>
      </c>
      <c r="K312" s="3">
        <v>110000</v>
      </c>
      <c r="L312" s="3">
        <v>40000</v>
      </c>
      <c r="M312" s="5">
        <f t="shared" si="4"/>
        <v>0.26666666666666666</v>
      </c>
    </row>
    <row r="313" spans="1:13" x14ac:dyDescent="0.3">
      <c r="A313" t="s">
        <v>392</v>
      </c>
      <c r="B313" t="s">
        <v>393</v>
      </c>
      <c r="C313" t="s">
        <v>30</v>
      </c>
      <c r="D313" t="s">
        <v>26</v>
      </c>
      <c r="E313" t="s">
        <v>27</v>
      </c>
      <c r="F313" t="s">
        <v>17</v>
      </c>
      <c r="G313">
        <v>2</v>
      </c>
      <c r="H313" s="3">
        <v>30000</v>
      </c>
      <c r="I313" s="3">
        <v>24000</v>
      </c>
      <c r="J313" s="3">
        <v>60000</v>
      </c>
      <c r="K313" s="3">
        <v>48000</v>
      </c>
      <c r="L313" s="3">
        <v>12000</v>
      </c>
      <c r="M313" s="5">
        <f t="shared" si="4"/>
        <v>0.2</v>
      </c>
    </row>
    <row r="314" spans="1:13" x14ac:dyDescent="0.3">
      <c r="A314" t="s">
        <v>638</v>
      </c>
      <c r="B314" t="s">
        <v>393</v>
      </c>
      <c r="C314" t="s">
        <v>30</v>
      </c>
      <c r="D314" t="s">
        <v>31</v>
      </c>
      <c r="E314" t="s">
        <v>46</v>
      </c>
      <c r="F314" t="s">
        <v>17</v>
      </c>
      <c r="G314">
        <v>2</v>
      </c>
      <c r="H314" s="3">
        <v>20000</v>
      </c>
      <c r="I314" s="3">
        <v>15000</v>
      </c>
      <c r="J314" s="3">
        <v>40000</v>
      </c>
      <c r="K314" s="3">
        <v>30000</v>
      </c>
      <c r="L314" s="3">
        <v>10000</v>
      </c>
      <c r="M314" s="5">
        <f t="shared" si="4"/>
        <v>0.25</v>
      </c>
    </row>
    <row r="315" spans="1:13" x14ac:dyDescent="0.3">
      <c r="A315" t="s">
        <v>315</v>
      </c>
      <c r="B315" t="s">
        <v>316</v>
      </c>
      <c r="C315" t="s">
        <v>30</v>
      </c>
      <c r="D315" t="s">
        <v>26</v>
      </c>
      <c r="E315" t="s">
        <v>16</v>
      </c>
      <c r="F315" t="s">
        <v>17</v>
      </c>
      <c r="G315">
        <v>5</v>
      </c>
      <c r="H315" s="3">
        <v>15000</v>
      </c>
      <c r="I315" s="3">
        <v>11000</v>
      </c>
      <c r="J315" s="3">
        <v>75000</v>
      </c>
      <c r="K315" s="3">
        <v>55000</v>
      </c>
      <c r="L315" s="3">
        <v>20000</v>
      </c>
      <c r="M315" s="5">
        <f t="shared" si="4"/>
        <v>0.26666666666666666</v>
      </c>
    </row>
    <row r="316" spans="1:13" x14ac:dyDescent="0.3">
      <c r="A316" t="s">
        <v>629</v>
      </c>
      <c r="B316" t="s">
        <v>316</v>
      </c>
      <c r="C316" t="s">
        <v>30</v>
      </c>
      <c r="D316" t="s">
        <v>31</v>
      </c>
      <c r="E316" t="s">
        <v>27</v>
      </c>
      <c r="F316" t="s">
        <v>17</v>
      </c>
      <c r="G316">
        <v>4</v>
      </c>
      <c r="H316" s="3">
        <v>30000</v>
      </c>
      <c r="I316" s="3">
        <v>24000</v>
      </c>
      <c r="J316" s="3">
        <v>120000</v>
      </c>
      <c r="K316" s="3">
        <v>96000</v>
      </c>
      <c r="L316" s="3">
        <v>24000</v>
      </c>
      <c r="M316" s="5">
        <f t="shared" si="4"/>
        <v>0.2</v>
      </c>
    </row>
    <row r="317" spans="1:13" x14ac:dyDescent="0.3">
      <c r="A317" t="s">
        <v>82</v>
      </c>
      <c r="B317" t="s">
        <v>83</v>
      </c>
      <c r="C317" t="s">
        <v>30</v>
      </c>
      <c r="D317" t="s">
        <v>31</v>
      </c>
      <c r="E317" t="s">
        <v>46</v>
      </c>
      <c r="F317" t="s">
        <v>17</v>
      </c>
      <c r="G317">
        <v>10</v>
      </c>
      <c r="H317" s="3">
        <v>20000</v>
      </c>
      <c r="I317" s="3">
        <v>15000</v>
      </c>
      <c r="J317" s="3">
        <v>200000</v>
      </c>
      <c r="K317" s="3">
        <v>150000</v>
      </c>
      <c r="L317" s="3">
        <v>50000</v>
      </c>
      <c r="M317" s="5">
        <f t="shared" si="4"/>
        <v>0.25</v>
      </c>
    </row>
    <row r="318" spans="1:13" x14ac:dyDescent="0.3">
      <c r="A318" t="s">
        <v>192</v>
      </c>
      <c r="B318" t="s">
        <v>83</v>
      </c>
      <c r="C318" t="s">
        <v>30</v>
      </c>
      <c r="D318" t="s">
        <v>26</v>
      </c>
      <c r="E318" t="s">
        <v>46</v>
      </c>
      <c r="F318" t="s">
        <v>17</v>
      </c>
      <c r="G318">
        <v>4</v>
      </c>
      <c r="H318" s="3">
        <v>20000</v>
      </c>
      <c r="I318" s="3">
        <v>15000</v>
      </c>
      <c r="J318" s="3">
        <v>80000</v>
      </c>
      <c r="K318" s="3">
        <v>60000</v>
      </c>
      <c r="L318" s="3">
        <v>20000</v>
      </c>
      <c r="M318" s="5">
        <f t="shared" si="4"/>
        <v>0.25</v>
      </c>
    </row>
    <row r="319" spans="1:13" x14ac:dyDescent="0.3">
      <c r="A319" t="s">
        <v>275</v>
      </c>
      <c r="B319" t="s">
        <v>276</v>
      </c>
      <c r="C319" t="s">
        <v>30</v>
      </c>
      <c r="D319" t="s">
        <v>26</v>
      </c>
      <c r="E319" t="s">
        <v>16</v>
      </c>
      <c r="F319" t="s">
        <v>17</v>
      </c>
      <c r="G319">
        <v>1</v>
      </c>
      <c r="H319" s="3">
        <v>15000</v>
      </c>
      <c r="I319" s="3">
        <v>11000</v>
      </c>
      <c r="J319" s="3">
        <v>15000</v>
      </c>
      <c r="K319" s="3">
        <v>11000</v>
      </c>
      <c r="L319" s="3">
        <v>4000</v>
      </c>
      <c r="M319" s="5">
        <f t="shared" si="4"/>
        <v>0.26666666666666666</v>
      </c>
    </row>
    <row r="320" spans="1:13" x14ac:dyDescent="0.3">
      <c r="A320" t="s">
        <v>354</v>
      </c>
      <c r="B320" t="s">
        <v>276</v>
      </c>
      <c r="C320" t="s">
        <v>30</v>
      </c>
      <c r="D320" t="s">
        <v>26</v>
      </c>
      <c r="E320" t="s">
        <v>27</v>
      </c>
      <c r="F320" t="s">
        <v>17</v>
      </c>
      <c r="G320">
        <v>5</v>
      </c>
      <c r="H320" s="3">
        <v>30000</v>
      </c>
      <c r="I320" s="3">
        <v>24000</v>
      </c>
      <c r="J320" s="3">
        <v>150000</v>
      </c>
      <c r="K320" s="3">
        <v>120000</v>
      </c>
      <c r="L320" s="3">
        <v>30000</v>
      </c>
      <c r="M320" s="5">
        <f t="shared" si="4"/>
        <v>0.2</v>
      </c>
    </row>
    <row r="321" spans="1:13" x14ac:dyDescent="0.3">
      <c r="A321" t="s">
        <v>241</v>
      </c>
      <c r="B321" t="s">
        <v>242</v>
      </c>
      <c r="C321" t="s">
        <v>30</v>
      </c>
      <c r="D321" t="s">
        <v>36</v>
      </c>
      <c r="E321" t="s">
        <v>16</v>
      </c>
      <c r="F321" t="s">
        <v>17</v>
      </c>
      <c r="G321">
        <v>5</v>
      </c>
      <c r="H321" s="3">
        <v>15000</v>
      </c>
      <c r="I321" s="3">
        <v>11000</v>
      </c>
      <c r="J321" s="3">
        <v>75000</v>
      </c>
      <c r="K321" s="3">
        <v>55000</v>
      </c>
      <c r="L321" s="3">
        <v>20000</v>
      </c>
      <c r="M321" s="5">
        <f t="shared" si="4"/>
        <v>0.26666666666666666</v>
      </c>
    </row>
    <row r="322" spans="1:13" x14ac:dyDescent="0.3">
      <c r="A322" t="s">
        <v>473</v>
      </c>
      <c r="B322" t="s">
        <v>242</v>
      </c>
      <c r="C322" t="s">
        <v>30</v>
      </c>
      <c r="D322" t="s">
        <v>36</v>
      </c>
      <c r="E322" t="s">
        <v>62</v>
      </c>
      <c r="F322" t="s">
        <v>17</v>
      </c>
      <c r="G322">
        <v>1</v>
      </c>
      <c r="H322" s="3">
        <v>50000</v>
      </c>
      <c r="I322" s="3">
        <v>40000</v>
      </c>
      <c r="J322" s="3">
        <v>50000</v>
      </c>
      <c r="K322" s="3">
        <v>40000</v>
      </c>
      <c r="L322" s="3">
        <v>10000</v>
      </c>
      <c r="M322" s="5">
        <f t="shared" si="4"/>
        <v>0.2</v>
      </c>
    </row>
    <row r="323" spans="1:13" x14ac:dyDescent="0.3">
      <c r="A323" t="s">
        <v>599</v>
      </c>
      <c r="B323" t="s">
        <v>242</v>
      </c>
      <c r="C323" t="s">
        <v>30</v>
      </c>
      <c r="D323" t="s">
        <v>26</v>
      </c>
      <c r="E323" t="s">
        <v>21</v>
      </c>
      <c r="F323" t="s">
        <v>22</v>
      </c>
      <c r="G323">
        <v>3</v>
      </c>
      <c r="H323" s="3">
        <v>2000</v>
      </c>
      <c r="I323" s="3">
        <v>1200</v>
      </c>
      <c r="J323" s="3">
        <v>6000</v>
      </c>
      <c r="K323" s="3">
        <v>3600</v>
      </c>
      <c r="L323" s="3">
        <v>2400</v>
      </c>
      <c r="M323" s="5">
        <f t="shared" ref="M323:M386" si="5">L323/J323</f>
        <v>0.4</v>
      </c>
    </row>
    <row r="324" spans="1:13" x14ac:dyDescent="0.3">
      <c r="A324" t="s">
        <v>225</v>
      </c>
      <c r="B324" t="s">
        <v>226</v>
      </c>
      <c r="C324" t="s">
        <v>30</v>
      </c>
      <c r="D324" t="s">
        <v>31</v>
      </c>
      <c r="E324" t="s">
        <v>46</v>
      </c>
      <c r="F324" t="s">
        <v>17</v>
      </c>
      <c r="G324">
        <v>4</v>
      </c>
      <c r="H324" s="3">
        <v>20000</v>
      </c>
      <c r="I324" s="3">
        <v>15000</v>
      </c>
      <c r="J324" s="3">
        <v>80000</v>
      </c>
      <c r="K324" s="3">
        <v>60000</v>
      </c>
      <c r="L324" s="3">
        <v>20000</v>
      </c>
      <c r="M324" s="5">
        <f t="shared" si="5"/>
        <v>0.25</v>
      </c>
    </row>
    <row r="325" spans="1:13" x14ac:dyDescent="0.3">
      <c r="A325" t="s">
        <v>28</v>
      </c>
      <c r="B325" t="s">
        <v>29</v>
      </c>
      <c r="C325" t="s">
        <v>30</v>
      </c>
      <c r="D325" t="s">
        <v>31</v>
      </c>
      <c r="E325" t="s">
        <v>21</v>
      </c>
      <c r="F325" t="s">
        <v>22</v>
      </c>
      <c r="G325">
        <v>1</v>
      </c>
      <c r="H325" s="3">
        <v>2000</v>
      </c>
      <c r="I325" s="3">
        <v>1200</v>
      </c>
      <c r="J325" s="3">
        <v>2000</v>
      </c>
      <c r="K325" s="3">
        <v>1200</v>
      </c>
      <c r="L325" s="3">
        <v>800</v>
      </c>
      <c r="M325" s="5">
        <f t="shared" si="5"/>
        <v>0.4</v>
      </c>
    </row>
    <row r="326" spans="1:13" x14ac:dyDescent="0.3">
      <c r="A326" t="s">
        <v>403</v>
      </c>
      <c r="B326" t="s">
        <v>29</v>
      </c>
      <c r="C326" t="s">
        <v>30</v>
      </c>
      <c r="D326" t="s">
        <v>26</v>
      </c>
      <c r="E326" t="s">
        <v>46</v>
      </c>
      <c r="F326" t="s">
        <v>17</v>
      </c>
      <c r="G326">
        <v>6</v>
      </c>
      <c r="H326" s="3">
        <v>20000</v>
      </c>
      <c r="I326" s="3">
        <v>15000</v>
      </c>
      <c r="J326" s="3">
        <v>120000</v>
      </c>
      <c r="K326" s="3">
        <v>90000</v>
      </c>
      <c r="L326" s="3">
        <v>30000</v>
      </c>
      <c r="M326" s="5">
        <f t="shared" si="5"/>
        <v>0.25</v>
      </c>
    </row>
    <row r="327" spans="1:13" x14ac:dyDescent="0.3">
      <c r="A327" t="s">
        <v>380</v>
      </c>
      <c r="B327" t="s">
        <v>381</v>
      </c>
      <c r="C327" t="s">
        <v>30</v>
      </c>
      <c r="D327" t="s">
        <v>15</v>
      </c>
      <c r="E327" t="s">
        <v>21</v>
      </c>
      <c r="F327" t="s">
        <v>22</v>
      </c>
      <c r="G327">
        <v>9</v>
      </c>
      <c r="H327" s="3">
        <v>2000</v>
      </c>
      <c r="I327" s="3">
        <v>1200</v>
      </c>
      <c r="J327" s="3">
        <v>18000</v>
      </c>
      <c r="K327" s="3">
        <v>10800</v>
      </c>
      <c r="L327" s="3">
        <v>7200</v>
      </c>
      <c r="M327" s="5">
        <f t="shared" si="5"/>
        <v>0.4</v>
      </c>
    </row>
    <row r="328" spans="1:13" x14ac:dyDescent="0.3">
      <c r="A328" t="s">
        <v>91</v>
      </c>
      <c r="B328" t="s">
        <v>92</v>
      </c>
      <c r="C328" t="s">
        <v>30</v>
      </c>
      <c r="D328" t="s">
        <v>26</v>
      </c>
      <c r="E328" t="s">
        <v>21</v>
      </c>
      <c r="F328" t="s">
        <v>22</v>
      </c>
      <c r="G328">
        <v>4</v>
      </c>
      <c r="H328" s="3">
        <v>2000</v>
      </c>
      <c r="I328" s="3">
        <v>1200</v>
      </c>
      <c r="J328" s="3">
        <v>8000</v>
      </c>
      <c r="K328" s="3">
        <v>4800</v>
      </c>
      <c r="L328" s="3">
        <v>3200</v>
      </c>
      <c r="M328" s="5">
        <f t="shared" si="5"/>
        <v>0.4</v>
      </c>
    </row>
    <row r="329" spans="1:13" x14ac:dyDescent="0.3">
      <c r="A329" t="s">
        <v>518</v>
      </c>
      <c r="B329" t="s">
        <v>92</v>
      </c>
      <c r="C329" t="s">
        <v>30</v>
      </c>
      <c r="D329" t="s">
        <v>26</v>
      </c>
      <c r="E329" t="s">
        <v>16</v>
      </c>
      <c r="F329" t="s">
        <v>17</v>
      </c>
      <c r="G329">
        <v>10</v>
      </c>
      <c r="H329" s="3">
        <v>15000</v>
      </c>
      <c r="I329" s="3">
        <v>11000</v>
      </c>
      <c r="J329" s="3">
        <v>150000</v>
      </c>
      <c r="K329" s="3">
        <v>110000</v>
      </c>
      <c r="L329" s="3">
        <v>40000</v>
      </c>
      <c r="M329" s="5">
        <f t="shared" si="5"/>
        <v>0.26666666666666666</v>
      </c>
    </row>
    <row r="330" spans="1:13" x14ac:dyDescent="0.3">
      <c r="A330" t="s">
        <v>164</v>
      </c>
      <c r="B330" t="s">
        <v>165</v>
      </c>
      <c r="C330" t="s">
        <v>30</v>
      </c>
      <c r="D330" t="s">
        <v>15</v>
      </c>
      <c r="E330" t="s">
        <v>21</v>
      </c>
      <c r="F330" t="s">
        <v>22</v>
      </c>
      <c r="G330">
        <v>2</v>
      </c>
      <c r="H330" s="3">
        <v>2000</v>
      </c>
      <c r="I330" s="3">
        <v>1200</v>
      </c>
      <c r="J330" s="3">
        <v>4000</v>
      </c>
      <c r="K330" s="3">
        <v>2400</v>
      </c>
      <c r="L330" s="3">
        <v>1600</v>
      </c>
      <c r="M330" s="5">
        <f t="shared" si="5"/>
        <v>0.4</v>
      </c>
    </row>
    <row r="331" spans="1:13" x14ac:dyDescent="0.3">
      <c r="A331" t="s">
        <v>34</v>
      </c>
      <c r="B331" t="s">
        <v>35</v>
      </c>
      <c r="C331" t="s">
        <v>30</v>
      </c>
      <c r="D331" t="s">
        <v>36</v>
      </c>
      <c r="E331" t="s">
        <v>16</v>
      </c>
      <c r="F331" t="s">
        <v>17</v>
      </c>
      <c r="G331">
        <v>7</v>
      </c>
      <c r="H331" s="3">
        <v>15000</v>
      </c>
      <c r="I331" s="3">
        <v>11000</v>
      </c>
      <c r="J331" s="3">
        <v>105000</v>
      </c>
      <c r="K331" s="3">
        <v>77000</v>
      </c>
      <c r="L331" s="3">
        <v>28000</v>
      </c>
      <c r="M331" s="5">
        <f t="shared" si="5"/>
        <v>0.26666666666666666</v>
      </c>
    </row>
    <row r="332" spans="1:13" x14ac:dyDescent="0.3">
      <c r="A332" t="s">
        <v>351</v>
      </c>
      <c r="B332" t="s">
        <v>35</v>
      </c>
      <c r="C332" t="s">
        <v>30</v>
      </c>
      <c r="D332" t="s">
        <v>15</v>
      </c>
      <c r="E332" t="s">
        <v>27</v>
      </c>
      <c r="F332" t="s">
        <v>17</v>
      </c>
      <c r="G332">
        <v>8</v>
      </c>
      <c r="H332" s="3">
        <v>30000</v>
      </c>
      <c r="I332" s="3">
        <v>24000</v>
      </c>
      <c r="J332" s="3">
        <v>240000</v>
      </c>
      <c r="K332" s="3">
        <v>192000</v>
      </c>
      <c r="L332" s="3">
        <v>48000</v>
      </c>
      <c r="M332" s="5">
        <f t="shared" si="5"/>
        <v>0.2</v>
      </c>
    </row>
    <row r="333" spans="1:13" x14ac:dyDescent="0.3">
      <c r="A333" t="s">
        <v>172</v>
      </c>
      <c r="B333" t="s">
        <v>173</v>
      </c>
      <c r="C333" t="s">
        <v>30</v>
      </c>
      <c r="D333" t="s">
        <v>15</v>
      </c>
      <c r="E333" t="s">
        <v>16</v>
      </c>
      <c r="F333" t="s">
        <v>17</v>
      </c>
      <c r="G333">
        <v>4</v>
      </c>
      <c r="H333" s="3">
        <v>15000</v>
      </c>
      <c r="I333" s="3">
        <v>11000</v>
      </c>
      <c r="J333" s="3">
        <v>60000</v>
      </c>
      <c r="K333" s="3">
        <v>44000</v>
      </c>
      <c r="L333" s="3">
        <v>16000</v>
      </c>
      <c r="M333" s="5">
        <f t="shared" si="5"/>
        <v>0.26666666666666666</v>
      </c>
    </row>
    <row r="334" spans="1:13" x14ac:dyDescent="0.3">
      <c r="A334" t="s">
        <v>206</v>
      </c>
      <c r="B334" t="s">
        <v>173</v>
      </c>
      <c r="C334" t="s">
        <v>30</v>
      </c>
      <c r="D334" t="s">
        <v>15</v>
      </c>
      <c r="E334" t="s">
        <v>16</v>
      </c>
      <c r="F334" t="s">
        <v>17</v>
      </c>
      <c r="G334">
        <v>6</v>
      </c>
      <c r="H334" s="3">
        <v>15000</v>
      </c>
      <c r="I334" s="3">
        <v>11000</v>
      </c>
      <c r="J334" s="3">
        <v>90000</v>
      </c>
      <c r="K334" s="3">
        <v>66000</v>
      </c>
      <c r="L334" s="3">
        <v>24000</v>
      </c>
      <c r="M334" s="5">
        <f t="shared" si="5"/>
        <v>0.26666666666666666</v>
      </c>
    </row>
    <row r="335" spans="1:13" x14ac:dyDescent="0.3">
      <c r="A335" t="s">
        <v>84</v>
      </c>
      <c r="B335" t="s">
        <v>85</v>
      </c>
      <c r="C335" t="s">
        <v>30</v>
      </c>
      <c r="D335" t="s">
        <v>26</v>
      </c>
      <c r="E335" t="s">
        <v>21</v>
      </c>
      <c r="F335" t="s">
        <v>22</v>
      </c>
      <c r="G335">
        <v>3</v>
      </c>
      <c r="H335" s="3">
        <v>2000</v>
      </c>
      <c r="I335" s="3">
        <v>1200</v>
      </c>
      <c r="J335" s="3">
        <v>6000</v>
      </c>
      <c r="K335" s="3">
        <v>3600</v>
      </c>
      <c r="L335" s="3">
        <v>2400</v>
      </c>
      <c r="M335" s="5">
        <f t="shared" si="5"/>
        <v>0.4</v>
      </c>
    </row>
    <row r="336" spans="1:13" x14ac:dyDescent="0.3">
      <c r="A336" t="s">
        <v>554</v>
      </c>
      <c r="B336" t="s">
        <v>555</v>
      </c>
      <c r="C336" t="s">
        <v>30</v>
      </c>
      <c r="D336" t="s">
        <v>36</v>
      </c>
      <c r="E336" t="s">
        <v>62</v>
      </c>
      <c r="F336" t="s">
        <v>17</v>
      </c>
      <c r="G336">
        <v>2</v>
      </c>
      <c r="H336" s="3">
        <v>50000</v>
      </c>
      <c r="I336" s="3">
        <v>40000</v>
      </c>
      <c r="J336" s="3">
        <v>100000</v>
      </c>
      <c r="K336" s="3">
        <v>80000</v>
      </c>
      <c r="L336" s="3">
        <v>20000</v>
      </c>
      <c r="M336" s="5">
        <f t="shared" si="5"/>
        <v>0.2</v>
      </c>
    </row>
    <row r="337" spans="1:13" x14ac:dyDescent="0.3">
      <c r="A337" t="s">
        <v>362</v>
      </c>
      <c r="B337" t="s">
        <v>363</v>
      </c>
      <c r="C337" t="s">
        <v>14</v>
      </c>
      <c r="D337" t="s">
        <v>36</v>
      </c>
      <c r="E337" t="s">
        <v>27</v>
      </c>
      <c r="F337" t="s">
        <v>17</v>
      </c>
      <c r="G337">
        <v>6</v>
      </c>
      <c r="H337" s="3">
        <v>30000</v>
      </c>
      <c r="I337" s="3">
        <v>24000</v>
      </c>
      <c r="J337" s="3">
        <v>180000</v>
      </c>
      <c r="K337" s="3">
        <v>144000</v>
      </c>
      <c r="L337" s="3">
        <v>36000</v>
      </c>
      <c r="M337" s="5">
        <f t="shared" si="5"/>
        <v>0.2</v>
      </c>
    </row>
    <row r="338" spans="1:13" x14ac:dyDescent="0.3">
      <c r="A338" t="s">
        <v>122</v>
      </c>
      <c r="B338" t="s">
        <v>123</v>
      </c>
      <c r="C338" t="s">
        <v>14</v>
      </c>
      <c r="D338" t="s">
        <v>31</v>
      </c>
      <c r="E338" t="s">
        <v>21</v>
      </c>
      <c r="F338" t="s">
        <v>22</v>
      </c>
      <c r="G338">
        <v>5</v>
      </c>
      <c r="H338" s="3">
        <v>2000</v>
      </c>
      <c r="I338" s="3">
        <v>1200</v>
      </c>
      <c r="J338" s="3">
        <v>10000</v>
      </c>
      <c r="K338" s="3">
        <v>6000</v>
      </c>
      <c r="L338" s="3">
        <v>4000</v>
      </c>
      <c r="M338" s="5">
        <f t="shared" si="5"/>
        <v>0.4</v>
      </c>
    </row>
    <row r="339" spans="1:13" x14ac:dyDescent="0.3">
      <c r="A339" t="s">
        <v>322</v>
      </c>
      <c r="B339" t="s">
        <v>123</v>
      </c>
      <c r="C339" t="s">
        <v>14</v>
      </c>
      <c r="D339" t="s">
        <v>31</v>
      </c>
      <c r="E339" t="s">
        <v>27</v>
      </c>
      <c r="F339" t="s">
        <v>17</v>
      </c>
      <c r="G339">
        <v>2</v>
      </c>
      <c r="H339" s="3">
        <v>30000</v>
      </c>
      <c r="I339" s="3">
        <v>24000</v>
      </c>
      <c r="J339" s="3">
        <v>60000</v>
      </c>
      <c r="K339" s="3">
        <v>48000</v>
      </c>
      <c r="L339" s="3">
        <v>12000</v>
      </c>
      <c r="M339" s="5">
        <f t="shared" si="5"/>
        <v>0.2</v>
      </c>
    </row>
    <row r="340" spans="1:13" x14ac:dyDescent="0.3">
      <c r="A340" t="s">
        <v>519</v>
      </c>
      <c r="B340" t="s">
        <v>123</v>
      </c>
      <c r="C340" t="s">
        <v>14</v>
      </c>
      <c r="D340" t="s">
        <v>31</v>
      </c>
      <c r="E340" t="s">
        <v>16</v>
      </c>
      <c r="F340" t="s">
        <v>17</v>
      </c>
      <c r="G340">
        <v>5</v>
      </c>
      <c r="H340" s="3">
        <v>15000</v>
      </c>
      <c r="I340" s="3">
        <v>11000</v>
      </c>
      <c r="J340" s="3">
        <v>75000</v>
      </c>
      <c r="K340" s="3">
        <v>55000</v>
      </c>
      <c r="L340" s="3">
        <v>20000</v>
      </c>
      <c r="M340" s="5">
        <f t="shared" si="5"/>
        <v>0.26666666666666666</v>
      </c>
    </row>
    <row r="341" spans="1:13" x14ac:dyDescent="0.3">
      <c r="A341" t="s">
        <v>461</v>
      </c>
      <c r="B341" t="s">
        <v>462</v>
      </c>
      <c r="C341" t="s">
        <v>14</v>
      </c>
      <c r="D341" t="s">
        <v>26</v>
      </c>
      <c r="E341" t="s">
        <v>46</v>
      </c>
      <c r="F341" t="s">
        <v>17</v>
      </c>
      <c r="G341">
        <v>5</v>
      </c>
      <c r="H341" s="3">
        <v>20000</v>
      </c>
      <c r="I341" s="3">
        <v>15000</v>
      </c>
      <c r="J341" s="3">
        <v>100000</v>
      </c>
      <c r="K341" s="3">
        <v>75000</v>
      </c>
      <c r="L341" s="3">
        <v>25000</v>
      </c>
      <c r="M341" s="5">
        <f t="shared" si="5"/>
        <v>0.25</v>
      </c>
    </row>
    <row r="342" spans="1:13" x14ac:dyDescent="0.3">
      <c r="A342" t="s">
        <v>582</v>
      </c>
      <c r="B342" t="s">
        <v>462</v>
      </c>
      <c r="C342" t="s">
        <v>14</v>
      </c>
      <c r="D342" t="s">
        <v>31</v>
      </c>
      <c r="E342" t="s">
        <v>21</v>
      </c>
      <c r="F342" t="s">
        <v>22</v>
      </c>
      <c r="G342">
        <v>2</v>
      </c>
      <c r="H342" s="3">
        <v>2000</v>
      </c>
      <c r="I342" s="3">
        <v>1200</v>
      </c>
      <c r="J342" s="3">
        <v>4000</v>
      </c>
      <c r="K342" s="3">
        <v>2400</v>
      </c>
      <c r="L342" s="3">
        <v>1600</v>
      </c>
      <c r="M342" s="5">
        <f t="shared" si="5"/>
        <v>0.4</v>
      </c>
    </row>
    <row r="343" spans="1:13" x14ac:dyDescent="0.3">
      <c r="A343" t="s">
        <v>232</v>
      </c>
      <c r="B343" t="s">
        <v>233</v>
      </c>
      <c r="C343" t="s">
        <v>14</v>
      </c>
      <c r="D343" t="s">
        <v>31</v>
      </c>
      <c r="E343" t="s">
        <v>27</v>
      </c>
      <c r="F343" t="s">
        <v>17</v>
      </c>
      <c r="G343">
        <v>1</v>
      </c>
      <c r="H343" s="3">
        <v>30000</v>
      </c>
      <c r="I343" s="3">
        <v>24000</v>
      </c>
      <c r="J343" s="3">
        <v>30000</v>
      </c>
      <c r="K343" s="3">
        <v>24000</v>
      </c>
      <c r="L343" s="3">
        <v>6000</v>
      </c>
      <c r="M343" s="5">
        <f t="shared" si="5"/>
        <v>0.2</v>
      </c>
    </row>
    <row r="344" spans="1:13" x14ac:dyDescent="0.3">
      <c r="A344" t="s">
        <v>32</v>
      </c>
      <c r="B344" t="s">
        <v>33</v>
      </c>
      <c r="C344" t="s">
        <v>14</v>
      </c>
      <c r="D344" t="s">
        <v>15</v>
      </c>
      <c r="E344" t="s">
        <v>16</v>
      </c>
      <c r="F344" t="s">
        <v>17</v>
      </c>
      <c r="G344">
        <v>5</v>
      </c>
      <c r="H344" s="3">
        <v>15000</v>
      </c>
      <c r="I344" s="3">
        <v>11000</v>
      </c>
      <c r="J344" s="3">
        <v>75000</v>
      </c>
      <c r="K344" s="3">
        <v>55000</v>
      </c>
      <c r="L344" s="3">
        <v>20000</v>
      </c>
      <c r="M344" s="5">
        <f t="shared" si="5"/>
        <v>0.26666666666666666</v>
      </c>
    </row>
    <row r="345" spans="1:13" x14ac:dyDescent="0.3">
      <c r="A345" t="s">
        <v>195</v>
      </c>
      <c r="B345" t="s">
        <v>33</v>
      </c>
      <c r="C345" t="s">
        <v>14</v>
      </c>
      <c r="D345" t="s">
        <v>36</v>
      </c>
      <c r="E345" t="s">
        <v>16</v>
      </c>
      <c r="F345" t="s">
        <v>17</v>
      </c>
      <c r="G345">
        <v>7</v>
      </c>
      <c r="H345" s="3">
        <v>15000</v>
      </c>
      <c r="I345" s="3">
        <v>11000</v>
      </c>
      <c r="J345" s="3">
        <v>105000</v>
      </c>
      <c r="K345" s="3">
        <v>77000</v>
      </c>
      <c r="L345" s="3">
        <v>28000</v>
      </c>
      <c r="M345" s="5">
        <f t="shared" si="5"/>
        <v>0.26666666666666666</v>
      </c>
    </row>
    <row r="346" spans="1:13" x14ac:dyDescent="0.3">
      <c r="A346" t="s">
        <v>617</v>
      </c>
      <c r="B346" t="s">
        <v>33</v>
      </c>
      <c r="C346" t="s">
        <v>14</v>
      </c>
      <c r="D346" t="s">
        <v>36</v>
      </c>
      <c r="E346" t="s">
        <v>27</v>
      </c>
      <c r="F346" t="s">
        <v>17</v>
      </c>
      <c r="G346">
        <v>1</v>
      </c>
      <c r="H346" s="3">
        <v>30000</v>
      </c>
      <c r="I346" s="3">
        <v>24000</v>
      </c>
      <c r="J346" s="3">
        <v>30000</v>
      </c>
      <c r="K346" s="3">
        <v>24000</v>
      </c>
      <c r="L346" s="3">
        <v>6000</v>
      </c>
      <c r="M346" s="5">
        <f t="shared" si="5"/>
        <v>0.2</v>
      </c>
    </row>
    <row r="347" spans="1:13" x14ac:dyDescent="0.3">
      <c r="A347" t="s">
        <v>278</v>
      </c>
      <c r="B347" t="s">
        <v>279</v>
      </c>
      <c r="C347" t="s">
        <v>14</v>
      </c>
      <c r="D347" t="s">
        <v>36</v>
      </c>
      <c r="E347" t="s">
        <v>27</v>
      </c>
      <c r="F347" t="s">
        <v>17</v>
      </c>
      <c r="G347">
        <v>10</v>
      </c>
      <c r="H347" s="3">
        <v>30000</v>
      </c>
      <c r="I347" s="3">
        <v>24000</v>
      </c>
      <c r="J347" s="3">
        <v>300000</v>
      </c>
      <c r="K347" s="3">
        <v>240000</v>
      </c>
      <c r="L347" s="3">
        <v>60000</v>
      </c>
      <c r="M347" s="5">
        <f t="shared" si="5"/>
        <v>0.2</v>
      </c>
    </row>
    <row r="348" spans="1:13" x14ac:dyDescent="0.3">
      <c r="A348" t="s">
        <v>12</v>
      </c>
      <c r="B348" t="s">
        <v>13</v>
      </c>
      <c r="C348" t="s">
        <v>14</v>
      </c>
      <c r="D348" t="s">
        <v>15</v>
      </c>
      <c r="E348" t="s">
        <v>16</v>
      </c>
      <c r="F348" t="s">
        <v>17</v>
      </c>
      <c r="G348">
        <v>2</v>
      </c>
      <c r="H348" s="3">
        <v>15000</v>
      </c>
      <c r="I348" s="3">
        <v>11000</v>
      </c>
      <c r="J348" s="3">
        <v>30000</v>
      </c>
      <c r="K348" s="3">
        <v>22000</v>
      </c>
      <c r="L348" s="3">
        <v>8000</v>
      </c>
      <c r="M348" s="5">
        <f t="shared" si="5"/>
        <v>0.26666666666666666</v>
      </c>
    </row>
    <row r="349" spans="1:13" x14ac:dyDescent="0.3">
      <c r="A349" t="s">
        <v>320</v>
      </c>
      <c r="B349" t="s">
        <v>321</v>
      </c>
      <c r="C349" t="s">
        <v>14</v>
      </c>
      <c r="D349" t="s">
        <v>26</v>
      </c>
      <c r="E349" t="s">
        <v>46</v>
      </c>
      <c r="F349" t="s">
        <v>17</v>
      </c>
      <c r="G349">
        <v>8</v>
      </c>
      <c r="H349" s="3">
        <v>20000</v>
      </c>
      <c r="I349" s="3">
        <v>15000</v>
      </c>
      <c r="J349" s="3">
        <v>160000</v>
      </c>
      <c r="K349" s="3">
        <v>120000</v>
      </c>
      <c r="L349" s="3">
        <v>40000</v>
      </c>
      <c r="M349" s="5">
        <f t="shared" si="5"/>
        <v>0.25</v>
      </c>
    </row>
    <row r="350" spans="1:13" x14ac:dyDescent="0.3">
      <c r="A350" t="s">
        <v>273</v>
      </c>
      <c r="B350" t="s">
        <v>274</v>
      </c>
      <c r="C350" t="s">
        <v>14</v>
      </c>
      <c r="D350" t="s">
        <v>15</v>
      </c>
      <c r="E350" t="s">
        <v>16</v>
      </c>
      <c r="F350" t="s">
        <v>17</v>
      </c>
      <c r="G350">
        <v>7</v>
      </c>
      <c r="H350" s="3">
        <v>15000</v>
      </c>
      <c r="I350" s="3">
        <v>11000</v>
      </c>
      <c r="J350" s="3">
        <v>105000</v>
      </c>
      <c r="K350" s="3">
        <v>77000</v>
      </c>
      <c r="L350" s="3">
        <v>28000</v>
      </c>
      <c r="M350" s="5">
        <f t="shared" si="5"/>
        <v>0.26666666666666666</v>
      </c>
    </row>
    <row r="351" spans="1:13" x14ac:dyDescent="0.3">
      <c r="A351" t="s">
        <v>339</v>
      </c>
      <c r="B351" t="s">
        <v>340</v>
      </c>
      <c r="C351" t="s">
        <v>14</v>
      </c>
      <c r="D351" t="s">
        <v>36</v>
      </c>
      <c r="E351" t="s">
        <v>27</v>
      </c>
      <c r="F351" t="s">
        <v>17</v>
      </c>
      <c r="G351">
        <v>10</v>
      </c>
      <c r="H351" s="3">
        <v>30000</v>
      </c>
      <c r="I351" s="3">
        <v>24000</v>
      </c>
      <c r="J351" s="3">
        <v>300000</v>
      </c>
      <c r="K351" s="3">
        <v>240000</v>
      </c>
      <c r="L351" s="3">
        <v>60000</v>
      </c>
      <c r="M351" s="5">
        <f t="shared" si="5"/>
        <v>0.2</v>
      </c>
    </row>
    <row r="352" spans="1:13" x14ac:dyDescent="0.3">
      <c r="A352" t="s">
        <v>571</v>
      </c>
      <c r="B352" t="s">
        <v>340</v>
      </c>
      <c r="C352" t="s">
        <v>14</v>
      </c>
      <c r="D352" t="s">
        <v>36</v>
      </c>
      <c r="E352" t="s">
        <v>27</v>
      </c>
      <c r="F352" t="s">
        <v>17</v>
      </c>
      <c r="G352">
        <v>10</v>
      </c>
      <c r="H352" s="3">
        <v>30000</v>
      </c>
      <c r="I352" s="3">
        <v>24000</v>
      </c>
      <c r="J352" s="3">
        <v>300000</v>
      </c>
      <c r="K352" s="3">
        <v>240000</v>
      </c>
      <c r="L352" s="3">
        <v>60000</v>
      </c>
      <c r="M352" s="5">
        <f t="shared" si="5"/>
        <v>0.2</v>
      </c>
    </row>
    <row r="353" spans="1:13" x14ac:dyDescent="0.3">
      <c r="A353" t="s">
        <v>370</v>
      </c>
      <c r="B353" t="s">
        <v>371</v>
      </c>
      <c r="C353" t="s">
        <v>14</v>
      </c>
      <c r="D353" t="s">
        <v>15</v>
      </c>
      <c r="E353" t="s">
        <v>46</v>
      </c>
      <c r="F353" t="s">
        <v>17</v>
      </c>
      <c r="G353">
        <v>3</v>
      </c>
      <c r="H353" s="3">
        <v>20000</v>
      </c>
      <c r="I353" s="3">
        <v>15000</v>
      </c>
      <c r="J353" s="3">
        <v>60000</v>
      </c>
      <c r="K353" s="3">
        <v>45000</v>
      </c>
      <c r="L353" s="3">
        <v>15000</v>
      </c>
      <c r="M353" s="5">
        <f t="shared" si="5"/>
        <v>0.25</v>
      </c>
    </row>
    <row r="354" spans="1:13" x14ac:dyDescent="0.3">
      <c r="A354" t="s">
        <v>547</v>
      </c>
      <c r="B354" t="s">
        <v>371</v>
      </c>
      <c r="C354" t="s">
        <v>14</v>
      </c>
      <c r="D354" t="s">
        <v>15</v>
      </c>
      <c r="E354" t="s">
        <v>46</v>
      </c>
      <c r="F354" t="s">
        <v>17</v>
      </c>
      <c r="G354">
        <v>5</v>
      </c>
      <c r="H354" s="3">
        <v>20000</v>
      </c>
      <c r="I354" s="3">
        <v>15000</v>
      </c>
      <c r="J354" s="3">
        <v>100000</v>
      </c>
      <c r="K354" s="3">
        <v>75000</v>
      </c>
      <c r="L354" s="3">
        <v>25000</v>
      </c>
      <c r="M354" s="5">
        <f t="shared" si="5"/>
        <v>0.25</v>
      </c>
    </row>
    <row r="355" spans="1:13" x14ac:dyDescent="0.3">
      <c r="A355" t="s">
        <v>574</v>
      </c>
      <c r="B355" t="s">
        <v>371</v>
      </c>
      <c r="C355" t="s">
        <v>14</v>
      </c>
      <c r="D355" t="s">
        <v>31</v>
      </c>
      <c r="E355" t="s">
        <v>62</v>
      </c>
      <c r="F355" t="s">
        <v>17</v>
      </c>
      <c r="G355">
        <v>8</v>
      </c>
      <c r="H355" s="3">
        <v>50000</v>
      </c>
      <c r="I355" s="3">
        <v>40000</v>
      </c>
      <c r="J355" s="3">
        <v>400000</v>
      </c>
      <c r="K355" s="3">
        <v>320000</v>
      </c>
      <c r="L355" s="3">
        <v>80000</v>
      </c>
      <c r="M355" s="5">
        <f t="shared" si="5"/>
        <v>0.2</v>
      </c>
    </row>
    <row r="356" spans="1:13" x14ac:dyDescent="0.3">
      <c r="A356" t="s">
        <v>552</v>
      </c>
      <c r="B356" t="s">
        <v>553</v>
      </c>
      <c r="C356" t="s">
        <v>14</v>
      </c>
      <c r="D356" t="s">
        <v>36</v>
      </c>
      <c r="E356" t="s">
        <v>16</v>
      </c>
      <c r="F356" t="s">
        <v>17</v>
      </c>
      <c r="G356">
        <v>7</v>
      </c>
      <c r="H356" s="3">
        <v>15000</v>
      </c>
      <c r="I356" s="3">
        <v>11000</v>
      </c>
      <c r="J356" s="3">
        <v>105000</v>
      </c>
      <c r="K356" s="3">
        <v>77000</v>
      </c>
      <c r="L356" s="3">
        <v>28000</v>
      </c>
      <c r="M356" s="5">
        <f t="shared" si="5"/>
        <v>0.26666666666666666</v>
      </c>
    </row>
    <row r="357" spans="1:13" x14ac:dyDescent="0.3">
      <c r="A357" t="s">
        <v>643</v>
      </c>
      <c r="B357" t="s">
        <v>553</v>
      </c>
      <c r="C357" t="s">
        <v>14</v>
      </c>
      <c r="D357" t="s">
        <v>26</v>
      </c>
      <c r="E357" t="s">
        <v>62</v>
      </c>
      <c r="F357" t="s">
        <v>17</v>
      </c>
      <c r="G357">
        <v>3</v>
      </c>
      <c r="H357" s="3">
        <v>50000</v>
      </c>
      <c r="I357" s="3">
        <v>40000</v>
      </c>
      <c r="J357" s="3">
        <v>150000</v>
      </c>
      <c r="K357" s="3">
        <v>120000</v>
      </c>
      <c r="L357" s="3">
        <v>30000</v>
      </c>
      <c r="M357" s="5">
        <f t="shared" si="5"/>
        <v>0.2</v>
      </c>
    </row>
    <row r="358" spans="1:13" x14ac:dyDescent="0.3">
      <c r="A358" t="s">
        <v>558</v>
      </c>
      <c r="B358" t="s">
        <v>559</v>
      </c>
      <c r="C358" t="s">
        <v>14</v>
      </c>
      <c r="D358" t="s">
        <v>26</v>
      </c>
      <c r="E358" t="s">
        <v>21</v>
      </c>
      <c r="F358" t="s">
        <v>22</v>
      </c>
      <c r="G358">
        <v>9</v>
      </c>
      <c r="H358" s="3">
        <v>2000</v>
      </c>
      <c r="I358" s="3">
        <v>1200</v>
      </c>
      <c r="J358" s="3">
        <v>18000</v>
      </c>
      <c r="K358" s="3">
        <v>10800</v>
      </c>
      <c r="L358" s="3">
        <v>7200</v>
      </c>
      <c r="M358" s="5">
        <f t="shared" si="5"/>
        <v>0.4</v>
      </c>
    </row>
    <row r="359" spans="1:13" x14ac:dyDescent="0.3">
      <c r="A359" t="s">
        <v>533</v>
      </c>
      <c r="B359" t="s">
        <v>534</v>
      </c>
      <c r="C359" t="s">
        <v>14</v>
      </c>
      <c r="D359" t="s">
        <v>36</v>
      </c>
      <c r="E359" t="s">
        <v>46</v>
      </c>
      <c r="F359" t="s">
        <v>17</v>
      </c>
      <c r="G359">
        <v>1</v>
      </c>
      <c r="H359" s="3">
        <v>20000</v>
      </c>
      <c r="I359" s="3">
        <v>15000</v>
      </c>
      <c r="J359" s="3">
        <v>20000</v>
      </c>
      <c r="K359" s="3">
        <v>15000</v>
      </c>
      <c r="L359" s="3">
        <v>5000</v>
      </c>
      <c r="M359" s="5">
        <f t="shared" si="5"/>
        <v>0.25</v>
      </c>
    </row>
    <row r="360" spans="1:13" x14ac:dyDescent="0.3">
      <c r="A360" t="s">
        <v>413</v>
      </c>
      <c r="B360" t="s">
        <v>414</v>
      </c>
      <c r="C360" t="s">
        <v>14</v>
      </c>
      <c r="D360" t="s">
        <v>15</v>
      </c>
      <c r="E360" t="s">
        <v>21</v>
      </c>
      <c r="F360" t="s">
        <v>22</v>
      </c>
      <c r="G360">
        <v>10</v>
      </c>
      <c r="H360" s="3">
        <v>2000</v>
      </c>
      <c r="I360" s="3">
        <v>1200</v>
      </c>
      <c r="J360" s="3">
        <v>20000</v>
      </c>
      <c r="K360" s="3">
        <v>12000</v>
      </c>
      <c r="L360" s="3">
        <v>8000</v>
      </c>
      <c r="M360" s="5">
        <f t="shared" si="5"/>
        <v>0.4</v>
      </c>
    </row>
    <row r="361" spans="1:13" x14ac:dyDescent="0.3">
      <c r="A361" t="s">
        <v>616</v>
      </c>
      <c r="B361" t="s">
        <v>414</v>
      </c>
      <c r="C361" t="s">
        <v>14</v>
      </c>
      <c r="D361" t="s">
        <v>31</v>
      </c>
      <c r="E361" t="s">
        <v>46</v>
      </c>
      <c r="F361" t="s">
        <v>17</v>
      </c>
      <c r="G361">
        <v>8</v>
      </c>
      <c r="H361" s="3">
        <v>20000</v>
      </c>
      <c r="I361" s="3">
        <v>15000</v>
      </c>
      <c r="J361" s="3">
        <v>160000</v>
      </c>
      <c r="K361" s="3">
        <v>120000</v>
      </c>
      <c r="L361" s="3">
        <v>40000</v>
      </c>
      <c r="M361" s="5">
        <f t="shared" si="5"/>
        <v>0.25</v>
      </c>
    </row>
    <row r="362" spans="1:13" x14ac:dyDescent="0.3">
      <c r="A362" t="s">
        <v>259</v>
      </c>
      <c r="B362" t="s">
        <v>260</v>
      </c>
      <c r="C362" t="s">
        <v>14</v>
      </c>
      <c r="D362" t="s">
        <v>15</v>
      </c>
      <c r="E362" t="s">
        <v>16</v>
      </c>
      <c r="F362" t="s">
        <v>17</v>
      </c>
      <c r="G362">
        <v>9</v>
      </c>
      <c r="H362" s="3">
        <v>15000</v>
      </c>
      <c r="I362" s="3">
        <v>11000</v>
      </c>
      <c r="J362" s="3">
        <v>135000</v>
      </c>
      <c r="K362" s="3">
        <v>99000</v>
      </c>
      <c r="L362" s="3">
        <v>36000</v>
      </c>
      <c r="M362" s="5">
        <f t="shared" si="5"/>
        <v>0.26666666666666666</v>
      </c>
    </row>
    <row r="363" spans="1:13" x14ac:dyDescent="0.3">
      <c r="A363" t="s">
        <v>448</v>
      </c>
      <c r="B363" t="s">
        <v>449</v>
      </c>
      <c r="C363" t="s">
        <v>14</v>
      </c>
      <c r="D363" t="s">
        <v>26</v>
      </c>
      <c r="E363" t="s">
        <v>21</v>
      </c>
      <c r="F363" t="s">
        <v>22</v>
      </c>
      <c r="G363">
        <v>4</v>
      </c>
      <c r="H363" s="3">
        <v>2000</v>
      </c>
      <c r="I363" s="3">
        <v>1200</v>
      </c>
      <c r="J363" s="3">
        <v>8000</v>
      </c>
      <c r="K363" s="3">
        <v>4800</v>
      </c>
      <c r="L363" s="3">
        <v>3200</v>
      </c>
      <c r="M363" s="5">
        <f t="shared" si="5"/>
        <v>0.4</v>
      </c>
    </row>
    <row r="364" spans="1:13" x14ac:dyDescent="0.3">
      <c r="A364" t="s">
        <v>583</v>
      </c>
      <c r="B364" t="s">
        <v>449</v>
      </c>
      <c r="C364" t="s">
        <v>14</v>
      </c>
      <c r="D364" t="s">
        <v>36</v>
      </c>
      <c r="E364" t="s">
        <v>62</v>
      </c>
      <c r="F364" t="s">
        <v>17</v>
      </c>
      <c r="G364">
        <v>6</v>
      </c>
      <c r="H364" s="3">
        <v>50000</v>
      </c>
      <c r="I364" s="3">
        <v>40000</v>
      </c>
      <c r="J364" s="3">
        <v>300000</v>
      </c>
      <c r="K364" s="3">
        <v>240000</v>
      </c>
      <c r="L364" s="3">
        <v>60000</v>
      </c>
      <c r="M364" s="5">
        <f t="shared" si="5"/>
        <v>0.2</v>
      </c>
    </row>
    <row r="365" spans="1:13" x14ac:dyDescent="0.3">
      <c r="A365" t="s">
        <v>153</v>
      </c>
      <c r="B365" t="s">
        <v>154</v>
      </c>
      <c r="C365" t="s">
        <v>14</v>
      </c>
      <c r="D365" t="s">
        <v>31</v>
      </c>
      <c r="E365" t="s">
        <v>46</v>
      </c>
      <c r="F365" t="s">
        <v>17</v>
      </c>
      <c r="G365">
        <v>2</v>
      </c>
      <c r="H365" s="3">
        <v>20000</v>
      </c>
      <c r="I365" s="3">
        <v>15000</v>
      </c>
      <c r="J365" s="3">
        <v>40000</v>
      </c>
      <c r="K365" s="3">
        <v>30000</v>
      </c>
      <c r="L365" s="3">
        <v>10000</v>
      </c>
      <c r="M365" s="5">
        <f t="shared" si="5"/>
        <v>0.25</v>
      </c>
    </row>
    <row r="366" spans="1:13" x14ac:dyDescent="0.3">
      <c r="A366" t="s">
        <v>271</v>
      </c>
      <c r="B366" t="s">
        <v>154</v>
      </c>
      <c r="C366" t="s">
        <v>14</v>
      </c>
      <c r="D366" t="s">
        <v>15</v>
      </c>
      <c r="E366" t="s">
        <v>27</v>
      </c>
      <c r="F366" t="s">
        <v>17</v>
      </c>
      <c r="G366">
        <v>3</v>
      </c>
      <c r="H366" s="3">
        <v>30000</v>
      </c>
      <c r="I366" s="3">
        <v>24000</v>
      </c>
      <c r="J366" s="3">
        <v>90000</v>
      </c>
      <c r="K366" s="3">
        <v>72000</v>
      </c>
      <c r="L366" s="3">
        <v>18000</v>
      </c>
      <c r="M366" s="5">
        <f t="shared" si="5"/>
        <v>0.2</v>
      </c>
    </row>
    <row r="367" spans="1:13" x14ac:dyDescent="0.3">
      <c r="A367" t="s">
        <v>379</v>
      </c>
      <c r="B367" t="s">
        <v>154</v>
      </c>
      <c r="C367" t="s">
        <v>14</v>
      </c>
      <c r="D367" t="s">
        <v>31</v>
      </c>
      <c r="E367" t="s">
        <v>27</v>
      </c>
      <c r="F367" t="s">
        <v>17</v>
      </c>
      <c r="G367">
        <v>1</v>
      </c>
      <c r="H367" s="3">
        <v>30000</v>
      </c>
      <c r="I367" s="3">
        <v>24000</v>
      </c>
      <c r="J367" s="3">
        <v>30000</v>
      </c>
      <c r="K367" s="3">
        <v>24000</v>
      </c>
      <c r="L367" s="3">
        <v>6000</v>
      </c>
      <c r="M367" s="5">
        <f t="shared" si="5"/>
        <v>0.2</v>
      </c>
    </row>
    <row r="368" spans="1:13" x14ac:dyDescent="0.3">
      <c r="A368" t="s">
        <v>611</v>
      </c>
      <c r="B368" t="s">
        <v>154</v>
      </c>
      <c r="C368" t="s">
        <v>14</v>
      </c>
      <c r="D368" t="s">
        <v>15</v>
      </c>
      <c r="E368" t="s">
        <v>62</v>
      </c>
      <c r="F368" t="s">
        <v>17</v>
      </c>
      <c r="G368">
        <v>6</v>
      </c>
      <c r="H368" s="3">
        <v>50000</v>
      </c>
      <c r="I368" s="3">
        <v>40000</v>
      </c>
      <c r="J368" s="3">
        <v>300000</v>
      </c>
      <c r="K368" s="3">
        <v>240000</v>
      </c>
      <c r="L368" s="3">
        <v>60000</v>
      </c>
      <c r="M368" s="5">
        <f t="shared" si="5"/>
        <v>0.2</v>
      </c>
    </row>
    <row r="369" spans="1:13" x14ac:dyDescent="0.3">
      <c r="A369" t="s">
        <v>631</v>
      </c>
      <c r="B369" t="s">
        <v>632</v>
      </c>
      <c r="C369" t="s">
        <v>14</v>
      </c>
      <c r="D369" t="s">
        <v>36</v>
      </c>
      <c r="E369" t="s">
        <v>46</v>
      </c>
      <c r="F369" t="s">
        <v>17</v>
      </c>
      <c r="G369">
        <v>3</v>
      </c>
      <c r="H369" s="3">
        <v>20000</v>
      </c>
      <c r="I369" s="3">
        <v>15000</v>
      </c>
      <c r="J369" s="3">
        <v>60000</v>
      </c>
      <c r="K369" s="3">
        <v>45000</v>
      </c>
      <c r="L369" s="3">
        <v>15000</v>
      </c>
      <c r="M369" s="5">
        <f t="shared" si="5"/>
        <v>0.25</v>
      </c>
    </row>
    <row r="370" spans="1:13" x14ac:dyDescent="0.3">
      <c r="A370" t="s">
        <v>236</v>
      </c>
      <c r="B370" t="s">
        <v>237</v>
      </c>
      <c r="C370" t="s">
        <v>121</v>
      </c>
      <c r="D370" t="s">
        <v>26</v>
      </c>
      <c r="E370" t="s">
        <v>16</v>
      </c>
      <c r="F370" t="s">
        <v>17</v>
      </c>
      <c r="G370">
        <v>4</v>
      </c>
      <c r="H370" s="3">
        <v>15000</v>
      </c>
      <c r="I370" s="3">
        <v>11000</v>
      </c>
      <c r="J370" s="3">
        <v>60000</v>
      </c>
      <c r="K370" s="3">
        <v>44000</v>
      </c>
      <c r="L370" s="3">
        <v>16000</v>
      </c>
      <c r="M370" s="5">
        <f t="shared" si="5"/>
        <v>0.26666666666666666</v>
      </c>
    </row>
    <row r="371" spans="1:13" x14ac:dyDescent="0.3">
      <c r="A371" t="s">
        <v>286</v>
      </c>
      <c r="B371" t="s">
        <v>237</v>
      </c>
      <c r="C371" t="s">
        <v>121</v>
      </c>
      <c r="D371" t="s">
        <v>26</v>
      </c>
      <c r="E371" t="s">
        <v>46</v>
      </c>
      <c r="F371" t="s">
        <v>17</v>
      </c>
      <c r="G371">
        <v>7</v>
      </c>
      <c r="H371" s="3">
        <v>20000</v>
      </c>
      <c r="I371" s="3">
        <v>15000</v>
      </c>
      <c r="J371" s="3">
        <v>140000</v>
      </c>
      <c r="K371" s="3">
        <v>105000</v>
      </c>
      <c r="L371" s="3">
        <v>35000</v>
      </c>
      <c r="M371" s="5">
        <f t="shared" si="5"/>
        <v>0.25</v>
      </c>
    </row>
    <row r="372" spans="1:13" x14ac:dyDescent="0.3">
      <c r="A372" t="s">
        <v>263</v>
      </c>
      <c r="B372" t="s">
        <v>264</v>
      </c>
      <c r="C372" t="s">
        <v>121</v>
      </c>
      <c r="D372" t="s">
        <v>26</v>
      </c>
      <c r="E372" t="s">
        <v>27</v>
      </c>
      <c r="F372" t="s">
        <v>17</v>
      </c>
      <c r="G372">
        <v>5</v>
      </c>
      <c r="H372" s="3">
        <v>30000</v>
      </c>
      <c r="I372" s="3">
        <v>24000</v>
      </c>
      <c r="J372" s="3">
        <v>150000</v>
      </c>
      <c r="K372" s="3">
        <v>120000</v>
      </c>
      <c r="L372" s="3">
        <v>30000</v>
      </c>
      <c r="M372" s="5">
        <f t="shared" si="5"/>
        <v>0.2</v>
      </c>
    </row>
    <row r="373" spans="1:13" x14ac:dyDescent="0.3">
      <c r="A373" t="s">
        <v>304</v>
      </c>
      <c r="B373" t="s">
        <v>264</v>
      </c>
      <c r="C373" t="s">
        <v>121</v>
      </c>
      <c r="D373" t="s">
        <v>26</v>
      </c>
      <c r="E373" t="s">
        <v>16</v>
      </c>
      <c r="F373" t="s">
        <v>17</v>
      </c>
      <c r="G373">
        <v>10</v>
      </c>
      <c r="H373" s="3">
        <v>15000</v>
      </c>
      <c r="I373" s="3">
        <v>11000</v>
      </c>
      <c r="J373" s="3">
        <v>150000</v>
      </c>
      <c r="K373" s="3">
        <v>110000</v>
      </c>
      <c r="L373" s="3">
        <v>40000</v>
      </c>
      <c r="M373" s="5">
        <f t="shared" si="5"/>
        <v>0.26666666666666666</v>
      </c>
    </row>
    <row r="374" spans="1:13" x14ac:dyDescent="0.3">
      <c r="A374" t="s">
        <v>333</v>
      </c>
      <c r="B374" t="s">
        <v>264</v>
      </c>
      <c r="C374" t="s">
        <v>121</v>
      </c>
      <c r="D374" t="s">
        <v>36</v>
      </c>
      <c r="E374" t="s">
        <v>62</v>
      </c>
      <c r="F374" t="s">
        <v>17</v>
      </c>
      <c r="G374">
        <v>6</v>
      </c>
      <c r="H374" s="3">
        <v>50000</v>
      </c>
      <c r="I374" s="3">
        <v>40000</v>
      </c>
      <c r="J374" s="3">
        <v>300000</v>
      </c>
      <c r="K374" s="3">
        <v>240000</v>
      </c>
      <c r="L374" s="3">
        <v>60000</v>
      </c>
      <c r="M374" s="5">
        <f t="shared" si="5"/>
        <v>0.2</v>
      </c>
    </row>
    <row r="375" spans="1:13" x14ac:dyDescent="0.3">
      <c r="A375" t="s">
        <v>124</v>
      </c>
      <c r="B375" t="s">
        <v>125</v>
      </c>
      <c r="C375" t="s">
        <v>121</v>
      </c>
      <c r="D375" t="s">
        <v>26</v>
      </c>
      <c r="E375" t="s">
        <v>27</v>
      </c>
      <c r="F375" t="s">
        <v>17</v>
      </c>
      <c r="G375">
        <v>10</v>
      </c>
      <c r="H375" s="3">
        <v>30000</v>
      </c>
      <c r="I375" s="3">
        <v>24000</v>
      </c>
      <c r="J375" s="3">
        <v>300000</v>
      </c>
      <c r="K375" s="3">
        <v>240000</v>
      </c>
      <c r="L375" s="3">
        <v>60000</v>
      </c>
      <c r="M375" s="5">
        <f t="shared" si="5"/>
        <v>0.2</v>
      </c>
    </row>
    <row r="376" spans="1:13" x14ac:dyDescent="0.3">
      <c r="A376" t="s">
        <v>399</v>
      </c>
      <c r="B376" t="s">
        <v>125</v>
      </c>
      <c r="C376" t="s">
        <v>121</v>
      </c>
      <c r="D376" t="s">
        <v>36</v>
      </c>
      <c r="E376" t="s">
        <v>27</v>
      </c>
      <c r="F376" t="s">
        <v>17</v>
      </c>
      <c r="G376">
        <v>6</v>
      </c>
      <c r="H376" s="3">
        <v>30000</v>
      </c>
      <c r="I376" s="3">
        <v>24000</v>
      </c>
      <c r="J376" s="3">
        <v>180000</v>
      </c>
      <c r="K376" s="3">
        <v>144000</v>
      </c>
      <c r="L376" s="3">
        <v>36000</v>
      </c>
      <c r="M376" s="5">
        <f t="shared" si="5"/>
        <v>0.2</v>
      </c>
    </row>
    <row r="377" spans="1:13" x14ac:dyDescent="0.3">
      <c r="A377" t="s">
        <v>562</v>
      </c>
      <c r="B377" t="s">
        <v>125</v>
      </c>
      <c r="C377" t="s">
        <v>121</v>
      </c>
      <c r="D377" t="s">
        <v>36</v>
      </c>
      <c r="E377" t="s">
        <v>21</v>
      </c>
      <c r="F377" t="s">
        <v>22</v>
      </c>
      <c r="G377">
        <v>1</v>
      </c>
      <c r="H377" s="3">
        <v>2000</v>
      </c>
      <c r="I377" s="3">
        <v>1200</v>
      </c>
      <c r="J377" s="3">
        <v>2000</v>
      </c>
      <c r="K377" s="3">
        <v>1200</v>
      </c>
      <c r="L377" s="3">
        <v>800</v>
      </c>
      <c r="M377" s="5">
        <f t="shared" si="5"/>
        <v>0.4</v>
      </c>
    </row>
    <row r="378" spans="1:13" x14ac:dyDescent="0.3">
      <c r="A378" t="s">
        <v>255</v>
      </c>
      <c r="B378" t="s">
        <v>256</v>
      </c>
      <c r="C378" t="s">
        <v>121</v>
      </c>
      <c r="D378" t="s">
        <v>36</v>
      </c>
      <c r="E378" t="s">
        <v>46</v>
      </c>
      <c r="F378" t="s">
        <v>17</v>
      </c>
      <c r="G378">
        <v>7</v>
      </c>
      <c r="H378" s="3">
        <v>20000</v>
      </c>
      <c r="I378" s="3">
        <v>15000</v>
      </c>
      <c r="J378" s="3">
        <v>140000</v>
      </c>
      <c r="K378" s="3">
        <v>105000</v>
      </c>
      <c r="L378" s="3">
        <v>35000</v>
      </c>
      <c r="M378" s="5">
        <f t="shared" si="5"/>
        <v>0.25</v>
      </c>
    </row>
    <row r="379" spans="1:13" x14ac:dyDescent="0.3">
      <c r="A379" t="s">
        <v>550</v>
      </c>
      <c r="B379" t="s">
        <v>551</v>
      </c>
      <c r="C379" t="s">
        <v>121</v>
      </c>
      <c r="D379" t="s">
        <v>36</v>
      </c>
      <c r="E379" t="s">
        <v>62</v>
      </c>
      <c r="F379" t="s">
        <v>17</v>
      </c>
      <c r="G379">
        <v>3</v>
      </c>
      <c r="H379" s="3">
        <v>50000</v>
      </c>
      <c r="I379" s="3">
        <v>40000</v>
      </c>
      <c r="J379" s="3">
        <v>150000</v>
      </c>
      <c r="K379" s="3">
        <v>120000</v>
      </c>
      <c r="L379" s="3">
        <v>30000</v>
      </c>
      <c r="M379" s="5">
        <f t="shared" si="5"/>
        <v>0.2</v>
      </c>
    </row>
    <row r="380" spans="1:13" x14ac:dyDescent="0.3">
      <c r="A380" t="s">
        <v>234</v>
      </c>
      <c r="B380" t="s">
        <v>235</v>
      </c>
      <c r="C380" t="s">
        <v>121</v>
      </c>
      <c r="D380" t="s">
        <v>26</v>
      </c>
      <c r="E380" t="s">
        <v>46</v>
      </c>
      <c r="F380" t="s">
        <v>17</v>
      </c>
      <c r="G380">
        <v>1</v>
      </c>
      <c r="H380" s="3">
        <v>20000</v>
      </c>
      <c r="I380" s="3">
        <v>15000</v>
      </c>
      <c r="J380" s="3">
        <v>20000</v>
      </c>
      <c r="K380" s="3">
        <v>15000</v>
      </c>
      <c r="L380" s="3">
        <v>5000</v>
      </c>
      <c r="M380" s="5">
        <f t="shared" si="5"/>
        <v>0.25</v>
      </c>
    </row>
    <row r="381" spans="1:13" x14ac:dyDescent="0.3">
      <c r="A381" t="s">
        <v>344</v>
      </c>
      <c r="B381" t="s">
        <v>345</v>
      </c>
      <c r="C381" t="s">
        <v>121</v>
      </c>
      <c r="D381" t="s">
        <v>31</v>
      </c>
      <c r="E381" t="s">
        <v>27</v>
      </c>
      <c r="F381" t="s">
        <v>17</v>
      </c>
      <c r="G381">
        <v>1</v>
      </c>
      <c r="H381" s="3">
        <v>30000</v>
      </c>
      <c r="I381" s="3">
        <v>24000</v>
      </c>
      <c r="J381" s="3">
        <v>30000</v>
      </c>
      <c r="K381" s="3">
        <v>24000</v>
      </c>
      <c r="L381" s="3">
        <v>6000</v>
      </c>
      <c r="M381" s="5">
        <f t="shared" si="5"/>
        <v>0.2</v>
      </c>
    </row>
    <row r="382" spans="1:13" x14ac:dyDescent="0.3">
      <c r="A382" t="s">
        <v>137</v>
      </c>
      <c r="B382" t="s">
        <v>138</v>
      </c>
      <c r="C382" t="s">
        <v>121</v>
      </c>
      <c r="D382" t="s">
        <v>36</v>
      </c>
      <c r="E382" t="s">
        <v>16</v>
      </c>
      <c r="F382" t="s">
        <v>17</v>
      </c>
      <c r="G382">
        <v>2</v>
      </c>
      <c r="H382" s="3">
        <v>15000</v>
      </c>
      <c r="I382" s="3">
        <v>11000</v>
      </c>
      <c r="J382" s="3">
        <v>30000</v>
      </c>
      <c r="K382" s="3">
        <v>22000</v>
      </c>
      <c r="L382" s="3">
        <v>8000</v>
      </c>
      <c r="M382" s="5">
        <f t="shared" si="5"/>
        <v>0.26666666666666666</v>
      </c>
    </row>
    <row r="383" spans="1:13" x14ac:dyDescent="0.3">
      <c r="A383" t="s">
        <v>342</v>
      </c>
      <c r="B383" t="s">
        <v>138</v>
      </c>
      <c r="C383" t="s">
        <v>121</v>
      </c>
      <c r="D383" t="s">
        <v>26</v>
      </c>
      <c r="E383" t="s">
        <v>27</v>
      </c>
      <c r="F383" t="s">
        <v>17</v>
      </c>
      <c r="G383">
        <v>10</v>
      </c>
      <c r="H383" s="3">
        <v>30000</v>
      </c>
      <c r="I383" s="3">
        <v>24000</v>
      </c>
      <c r="J383" s="3">
        <v>300000</v>
      </c>
      <c r="K383" s="3">
        <v>240000</v>
      </c>
      <c r="L383" s="3">
        <v>60000</v>
      </c>
      <c r="M383" s="5">
        <f t="shared" si="5"/>
        <v>0.2</v>
      </c>
    </row>
    <row r="384" spans="1:13" x14ac:dyDescent="0.3">
      <c r="A384" t="s">
        <v>538</v>
      </c>
      <c r="B384" t="s">
        <v>539</v>
      </c>
      <c r="C384" t="s">
        <v>121</v>
      </c>
      <c r="D384" t="s">
        <v>36</v>
      </c>
      <c r="E384" t="s">
        <v>27</v>
      </c>
      <c r="F384" t="s">
        <v>17</v>
      </c>
      <c r="G384">
        <v>2</v>
      </c>
      <c r="H384" s="3">
        <v>30000</v>
      </c>
      <c r="I384" s="3">
        <v>24000</v>
      </c>
      <c r="J384" s="3">
        <v>60000</v>
      </c>
      <c r="K384" s="3">
        <v>48000</v>
      </c>
      <c r="L384" s="3">
        <v>12000</v>
      </c>
      <c r="M384" s="5">
        <f t="shared" si="5"/>
        <v>0.2</v>
      </c>
    </row>
    <row r="385" spans="1:13" x14ac:dyDescent="0.3">
      <c r="A385" t="s">
        <v>560</v>
      </c>
      <c r="B385" t="s">
        <v>539</v>
      </c>
      <c r="C385" t="s">
        <v>121</v>
      </c>
      <c r="D385" t="s">
        <v>36</v>
      </c>
      <c r="E385" t="s">
        <v>27</v>
      </c>
      <c r="F385" t="s">
        <v>17</v>
      </c>
      <c r="G385">
        <v>2</v>
      </c>
      <c r="H385" s="3">
        <v>30000</v>
      </c>
      <c r="I385" s="3">
        <v>24000</v>
      </c>
      <c r="J385" s="3">
        <v>60000</v>
      </c>
      <c r="K385" s="3">
        <v>48000</v>
      </c>
      <c r="L385" s="3">
        <v>12000</v>
      </c>
      <c r="M385" s="5">
        <f t="shared" si="5"/>
        <v>0.2</v>
      </c>
    </row>
    <row r="386" spans="1:13" x14ac:dyDescent="0.3">
      <c r="A386" t="s">
        <v>567</v>
      </c>
      <c r="B386" t="s">
        <v>568</v>
      </c>
      <c r="C386" t="s">
        <v>121</v>
      </c>
      <c r="D386" t="s">
        <v>15</v>
      </c>
      <c r="E386" t="s">
        <v>62</v>
      </c>
      <c r="F386" t="s">
        <v>17</v>
      </c>
      <c r="G386">
        <v>9</v>
      </c>
      <c r="H386" s="3">
        <v>50000</v>
      </c>
      <c r="I386" s="3">
        <v>40000</v>
      </c>
      <c r="J386" s="3">
        <v>450000</v>
      </c>
      <c r="K386" s="3">
        <v>360000</v>
      </c>
      <c r="L386" s="3">
        <v>90000</v>
      </c>
      <c r="M386" s="5">
        <f t="shared" si="5"/>
        <v>0.2</v>
      </c>
    </row>
    <row r="387" spans="1:13" x14ac:dyDescent="0.3">
      <c r="A387" t="s">
        <v>618</v>
      </c>
      <c r="B387" t="s">
        <v>568</v>
      </c>
      <c r="C387" t="s">
        <v>121</v>
      </c>
      <c r="D387" t="s">
        <v>26</v>
      </c>
      <c r="E387" t="s">
        <v>62</v>
      </c>
      <c r="F387" t="s">
        <v>17</v>
      </c>
      <c r="G387">
        <v>7</v>
      </c>
      <c r="H387" s="3">
        <v>50000</v>
      </c>
      <c r="I387" s="3">
        <v>40000</v>
      </c>
      <c r="J387" s="3">
        <v>350000</v>
      </c>
      <c r="K387" s="3">
        <v>280000</v>
      </c>
      <c r="L387" s="3">
        <v>70000</v>
      </c>
      <c r="M387" s="5">
        <f t="shared" ref="M387:M401" si="6">L387/J387</f>
        <v>0.2</v>
      </c>
    </row>
    <row r="388" spans="1:13" x14ac:dyDescent="0.3">
      <c r="A388" t="s">
        <v>542</v>
      </c>
      <c r="B388" t="s">
        <v>543</v>
      </c>
      <c r="C388" t="s">
        <v>121</v>
      </c>
      <c r="D388" t="s">
        <v>31</v>
      </c>
      <c r="E388" t="s">
        <v>16</v>
      </c>
      <c r="F388" t="s">
        <v>17</v>
      </c>
      <c r="G388">
        <v>4</v>
      </c>
      <c r="H388" s="3">
        <v>15000</v>
      </c>
      <c r="I388" s="3">
        <v>11000</v>
      </c>
      <c r="J388" s="3">
        <v>60000</v>
      </c>
      <c r="K388" s="3">
        <v>44000</v>
      </c>
      <c r="L388" s="3">
        <v>16000</v>
      </c>
      <c r="M388" s="5">
        <f t="shared" si="6"/>
        <v>0.26666666666666666</v>
      </c>
    </row>
    <row r="389" spans="1:13" x14ac:dyDescent="0.3">
      <c r="A389" t="s">
        <v>657</v>
      </c>
      <c r="B389" t="s">
        <v>658</v>
      </c>
      <c r="C389" t="s">
        <v>121</v>
      </c>
      <c r="D389" t="s">
        <v>31</v>
      </c>
      <c r="E389" t="s">
        <v>16</v>
      </c>
      <c r="F389" t="s">
        <v>17</v>
      </c>
      <c r="G389">
        <v>2</v>
      </c>
      <c r="H389" s="3">
        <v>15000</v>
      </c>
      <c r="I389" s="3">
        <v>11000</v>
      </c>
      <c r="J389" s="3">
        <v>30000</v>
      </c>
      <c r="K389" s="3">
        <v>22000</v>
      </c>
      <c r="L389" s="3">
        <v>8000</v>
      </c>
      <c r="M389" s="5">
        <f t="shared" si="6"/>
        <v>0.26666666666666666</v>
      </c>
    </row>
    <row r="390" spans="1:13" x14ac:dyDescent="0.3">
      <c r="A390" t="s">
        <v>608</v>
      </c>
      <c r="B390" t="s">
        <v>609</v>
      </c>
      <c r="C390" t="s">
        <v>121</v>
      </c>
      <c r="D390" t="s">
        <v>15</v>
      </c>
      <c r="E390" t="s">
        <v>27</v>
      </c>
      <c r="F390" t="s">
        <v>17</v>
      </c>
      <c r="G390">
        <v>3</v>
      </c>
      <c r="H390" s="3">
        <v>30000</v>
      </c>
      <c r="I390" s="3">
        <v>24000</v>
      </c>
      <c r="J390" s="3">
        <v>90000</v>
      </c>
      <c r="K390" s="3">
        <v>72000</v>
      </c>
      <c r="L390" s="3">
        <v>18000</v>
      </c>
      <c r="M390" s="5">
        <f t="shared" si="6"/>
        <v>0.2</v>
      </c>
    </row>
    <row r="391" spans="1:13" x14ac:dyDescent="0.3">
      <c r="A391" t="s">
        <v>119</v>
      </c>
      <c r="B391" t="s">
        <v>120</v>
      </c>
      <c r="C391" t="s">
        <v>121</v>
      </c>
      <c r="D391" t="s">
        <v>15</v>
      </c>
      <c r="E391" t="s">
        <v>46</v>
      </c>
      <c r="F391" t="s">
        <v>17</v>
      </c>
      <c r="G391">
        <v>8</v>
      </c>
      <c r="H391" s="3">
        <v>20000</v>
      </c>
      <c r="I391" s="3">
        <v>15000</v>
      </c>
      <c r="J391" s="3">
        <v>160000</v>
      </c>
      <c r="K391" s="3">
        <v>120000</v>
      </c>
      <c r="L391" s="3">
        <v>40000</v>
      </c>
      <c r="M391" s="5">
        <f t="shared" si="6"/>
        <v>0.25</v>
      </c>
    </row>
    <row r="392" spans="1:13" x14ac:dyDescent="0.3">
      <c r="A392" t="s">
        <v>208</v>
      </c>
      <c r="B392" t="s">
        <v>120</v>
      </c>
      <c r="C392" t="s">
        <v>121</v>
      </c>
      <c r="D392" t="s">
        <v>26</v>
      </c>
      <c r="E392" t="s">
        <v>16</v>
      </c>
      <c r="F392" t="s">
        <v>17</v>
      </c>
      <c r="G392">
        <v>9</v>
      </c>
      <c r="H392" s="3">
        <v>15000</v>
      </c>
      <c r="I392" s="3">
        <v>11000</v>
      </c>
      <c r="J392" s="3">
        <v>135000</v>
      </c>
      <c r="K392" s="3">
        <v>99000</v>
      </c>
      <c r="L392" s="3">
        <v>36000</v>
      </c>
      <c r="M392" s="5">
        <f t="shared" si="6"/>
        <v>0.26666666666666666</v>
      </c>
    </row>
    <row r="393" spans="1:13" x14ac:dyDescent="0.3">
      <c r="A393" t="s">
        <v>145</v>
      </c>
      <c r="B393" t="s">
        <v>146</v>
      </c>
      <c r="C393" t="s">
        <v>121</v>
      </c>
      <c r="D393" t="s">
        <v>31</v>
      </c>
      <c r="E393" t="s">
        <v>27</v>
      </c>
      <c r="F393" t="s">
        <v>17</v>
      </c>
      <c r="G393">
        <v>9</v>
      </c>
      <c r="H393" s="3">
        <v>30000</v>
      </c>
      <c r="I393" s="3">
        <v>24000</v>
      </c>
      <c r="J393" s="3">
        <v>270000</v>
      </c>
      <c r="K393" s="3">
        <v>216000</v>
      </c>
      <c r="L393" s="3">
        <v>54000</v>
      </c>
      <c r="M393" s="5">
        <f t="shared" si="6"/>
        <v>0.2</v>
      </c>
    </row>
    <row r="394" spans="1:13" x14ac:dyDescent="0.3">
      <c r="A394" t="s">
        <v>290</v>
      </c>
      <c r="B394" t="s">
        <v>146</v>
      </c>
      <c r="C394" t="s">
        <v>121</v>
      </c>
      <c r="D394" t="s">
        <v>15</v>
      </c>
      <c r="E394" t="s">
        <v>62</v>
      </c>
      <c r="F394" t="s">
        <v>17</v>
      </c>
      <c r="G394">
        <v>8</v>
      </c>
      <c r="H394" s="3">
        <v>50000</v>
      </c>
      <c r="I394" s="3">
        <v>40000</v>
      </c>
      <c r="J394" s="3">
        <v>400000</v>
      </c>
      <c r="K394" s="3">
        <v>320000</v>
      </c>
      <c r="L394" s="3">
        <v>80000</v>
      </c>
      <c r="M394" s="5">
        <f t="shared" si="6"/>
        <v>0.2</v>
      </c>
    </row>
    <row r="395" spans="1:13" x14ac:dyDescent="0.3">
      <c r="A395" t="s">
        <v>435</v>
      </c>
      <c r="B395" t="s">
        <v>146</v>
      </c>
      <c r="C395" t="s">
        <v>121</v>
      </c>
      <c r="D395" t="s">
        <v>15</v>
      </c>
      <c r="E395" t="s">
        <v>62</v>
      </c>
      <c r="F395" t="s">
        <v>17</v>
      </c>
      <c r="G395">
        <v>2</v>
      </c>
      <c r="H395" s="3">
        <v>50000</v>
      </c>
      <c r="I395" s="3">
        <v>40000</v>
      </c>
      <c r="J395" s="3">
        <v>100000</v>
      </c>
      <c r="K395" s="3">
        <v>80000</v>
      </c>
      <c r="L395" s="3">
        <v>20000</v>
      </c>
      <c r="M395" s="5">
        <f t="shared" si="6"/>
        <v>0.2</v>
      </c>
    </row>
    <row r="396" spans="1:13" x14ac:dyDescent="0.3">
      <c r="A396" t="s">
        <v>139</v>
      </c>
      <c r="B396" t="s">
        <v>140</v>
      </c>
      <c r="C396" t="s">
        <v>121</v>
      </c>
      <c r="D396" t="s">
        <v>36</v>
      </c>
      <c r="E396" t="s">
        <v>27</v>
      </c>
      <c r="F396" t="s">
        <v>17</v>
      </c>
      <c r="G396">
        <v>4</v>
      </c>
      <c r="H396" s="3">
        <v>30000</v>
      </c>
      <c r="I396" s="3">
        <v>24000</v>
      </c>
      <c r="J396" s="3">
        <v>120000</v>
      </c>
      <c r="K396" s="3">
        <v>96000</v>
      </c>
      <c r="L396" s="3">
        <v>24000</v>
      </c>
      <c r="M396" s="5">
        <f t="shared" si="6"/>
        <v>0.2</v>
      </c>
    </row>
    <row r="397" spans="1:13" x14ac:dyDescent="0.3">
      <c r="A397" t="s">
        <v>168</v>
      </c>
      <c r="B397" t="s">
        <v>169</v>
      </c>
      <c r="C397" t="s">
        <v>121</v>
      </c>
      <c r="D397" t="s">
        <v>15</v>
      </c>
      <c r="E397" t="s">
        <v>46</v>
      </c>
      <c r="F397" t="s">
        <v>17</v>
      </c>
      <c r="G397">
        <v>6</v>
      </c>
      <c r="H397" s="3">
        <v>20000</v>
      </c>
      <c r="I397" s="3">
        <v>15000</v>
      </c>
      <c r="J397" s="3">
        <v>120000</v>
      </c>
      <c r="K397" s="3">
        <v>90000</v>
      </c>
      <c r="L397" s="3">
        <v>30000</v>
      </c>
      <c r="M397" s="5">
        <f t="shared" si="6"/>
        <v>0.25</v>
      </c>
    </row>
    <row r="398" spans="1:13" x14ac:dyDescent="0.3">
      <c r="A398" t="s">
        <v>218</v>
      </c>
      <c r="B398" t="s">
        <v>169</v>
      </c>
      <c r="C398" t="s">
        <v>121</v>
      </c>
      <c r="D398" t="s">
        <v>36</v>
      </c>
      <c r="E398" t="s">
        <v>21</v>
      </c>
      <c r="F398" t="s">
        <v>22</v>
      </c>
      <c r="G398">
        <v>9</v>
      </c>
      <c r="H398" s="3">
        <v>2000</v>
      </c>
      <c r="I398" s="3">
        <v>1200</v>
      </c>
      <c r="J398" s="3">
        <v>18000</v>
      </c>
      <c r="K398" s="3">
        <v>10800</v>
      </c>
      <c r="L398" s="3">
        <v>7200</v>
      </c>
      <c r="M398" s="5">
        <f t="shared" si="6"/>
        <v>0.4</v>
      </c>
    </row>
    <row r="399" spans="1:13" x14ac:dyDescent="0.3">
      <c r="A399" t="s">
        <v>261</v>
      </c>
      <c r="B399" t="s">
        <v>262</v>
      </c>
      <c r="C399" t="s">
        <v>121</v>
      </c>
      <c r="D399" t="s">
        <v>36</v>
      </c>
      <c r="E399" t="s">
        <v>16</v>
      </c>
      <c r="F399" t="s">
        <v>17</v>
      </c>
      <c r="G399">
        <v>5</v>
      </c>
      <c r="H399" s="3">
        <v>15000</v>
      </c>
      <c r="I399" s="3">
        <v>11000</v>
      </c>
      <c r="J399" s="3">
        <v>75000</v>
      </c>
      <c r="K399" s="3">
        <v>55000</v>
      </c>
      <c r="L399" s="3">
        <v>20000</v>
      </c>
      <c r="M399" s="5">
        <f t="shared" si="6"/>
        <v>0.26666666666666666</v>
      </c>
    </row>
    <row r="400" spans="1:13" x14ac:dyDescent="0.3">
      <c r="A400" t="s">
        <v>159</v>
      </c>
      <c r="B400" t="s">
        <v>160</v>
      </c>
      <c r="C400" t="s">
        <v>121</v>
      </c>
      <c r="D400" t="s">
        <v>26</v>
      </c>
      <c r="E400" t="s">
        <v>62</v>
      </c>
      <c r="F400" t="s">
        <v>17</v>
      </c>
      <c r="G400">
        <v>4</v>
      </c>
      <c r="H400" s="3">
        <v>50000</v>
      </c>
      <c r="I400" s="3">
        <v>40000</v>
      </c>
      <c r="J400" s="3">
        <v>200000</v>
      </c>
      <c r="K400" s="3">
        <v>160000</v>
      </c>
      <c r="L400" s="3">
        <v>40000</v>
      </c>
      <c r="M400" s="5">
        <f t="shared" si="6"/>
        <v>0.2</v>
      </c>
    </row>
    <row r="401" spans="1:13" x14ac:dyDescent="0.3">
      <c r="A401" t="s">
        <v>526</v>
      </c>
      <c r="B401" t="s">
        <v>160</v>
      </c>
      <c r="C401" t="s">
        <v>121</v>
      </c>
      <c r="D401" t="s">
        <v>15</v>
      </c>
      <c r="E401" t="s">
        <v>21</v>
      </c>
      <c r="F401" t="s">
        <v>22</v>
      </c>
      <c r="G401">
        <v>6</v>
      </c>
      <c r="H401" s="3">
        <v>2000</v>
      </c>
      <c r="I401" s="3">
        <v>1200</v>
      </c>
      <c r="J401" s="3">
        <v>12000</v>
      </c>
      <c r="K401" s="3">
        <v>7200</v>
      </c>
      <c r="L401" s="3">
        <v>4800</v>
      </c>
      <c r="M401" s="5">
        <f t="shared" si="6"/>
        <v>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CAB9-1301-44B4-A278-8B4AFCCE3790}">
  <dimension ref="A1:B58"/>
  <sheetViews>
    <sheetView zoomScale="60" zoomScaleNormal="91" workbookViewId="0">
      <selection activeCell="B7" sqref="B7"/>
    </sheetView>
  </sheetViews>
  <sheetFormatPr defaultRowHeight="14.4" x14ac:dyDescent="0.3"/>
  <cols>
    <col min="1" max="1" width="13.33203125" bestFit="1" customWidth="1"/>
    <col min="2" max="2" width="24.21875" bestFit="1" customWidth="1"/>
  </cols>
  <sheetData>
    <row r="1" spans="1:2" x14ac:dyDescent="0.3">
      <c r="A1" s="6" t="s">
        <v>4</v>
      </c>
      <c r="B1" t="s">
        <v>681</v>
      </c>
    </row>
    <row r="2" spans="1:2" x14ac:dyDescent="0.3">
      <c r="A2" s="6" t="s">
        <v>2</v>
      </c>
      <c r="B2" t="s">
        <v>681</v>
      </c>
    </row>
    <row r="4" spans="1:2" x14ac:dyDescent="0.3">
      <c r="A4" s="6" t="s">
        <v>674</v>
      </c>
      <c r="B4" t="s">
        <v>677</v>
      </c>
    </row>
    <row r="5" spans="1:2" x14ac:dyDescent="0.3">
      <c r="A5" s="7" t="s">
        <v>15</v>
      </c>
      <c r="B5" s="3">
        <v>13352000</v>
      </c>
    </row>
    <row r="6" spans="1:2" x14ac:dyDescent="0.3">
      <c r="A6" s="7" t="s">
        <v>36</v>
      </c>
      <c r="B6" s="3">
        <v>11592000</v>
      </c>
    </row>
    <row r="7" spans="1:2" x14ac:dyDescent="0.3">
      <c r="A7" s="7" t="s">
        <v>26</v>
      </c>
      <c r="B7" s="3">
        <v>11686000</v>
      </c>
    </row>
    <row r="8" spans="1:2" x14ac:dyDescent="0.3">
      <c r="A8" s="7" t="s">
        <v>31</v>
      </c>
      <c r="B8" s="3">
        <v>11761000</v>
      </c>
    </row>
    <row r="9" spans="1:2" x14ac:dyDescent="0.3">
      <c r="A9" s="7" t="s">
        <v>675</v>
      </c>
      <c r="B9" s="3">
        <v>48391000</v>
      </c>
    </row>
    <row r="15" spans="1:2" x14ac:dyDescent="0.3">
      <c r="A15" s="6" t="s">
        <v>2</v>
      </c>
      <c r="B15" t="s">
        <v>681</v>
      </c>
    </row>
    <row r="16" spans="1:2" x14ac:dyDescent="0.3">
      <c r="A16" s="6" t="s">
        <v>3</v>
      </c>
      <c r="B16" t="s">
        <v>681</v>
      </c>
    </row>
    <row r="18" spans="1:2" x14ac:dyDescent="0.3">
      <c r="A18" s="6" t="s">
        <v>674</v>
      </c>
      <c r="B18" t="s">
        <v>678</v>
      </c>
    </row>
    <row r="19" spans="1:2" x14ac:dyDescent="0.3">
      <c r="A19" s="7" t="s">
        <v>62</v>
      </c>
      <c r="B19" s="3">
        <v>3360000</v>
      </c>
    </row>
    <row r="20" spans="1:2" x14ac:dyDescent="0.3">
      <c r="A20" s="7" t="s">
        <v>46</v>
      </c>
      <c r="B20" s="3">
        <v>2635000</v>
      </c>
    </row>
    <row r="21" spans="1:2" x14ac:dyDescent="0.3">
      <c r="A21" s="7" t="s">
        <v>27</v>
      </c>
      <c r="B21" s="3">
        <v>2520000</v>
      </c>
    </row>
    <row r="22" spans="1:2" x14ac:dyDescent="0.3">
      <c r="A22" s="7" t="s">
        <v>16</v>
      </c>
      <c r="B22" s="3">
        <v>2012000</v>
      </c>
    </row>
    <row r="23" spans="1:2" x14ac:dyDescent="0.3">
      <c r="A23" s="7" t="s">
        <v>21</v>
      </c>
      <c r="B23" s="3">
        <v>362400</v>
      </c>
    </row>
    <row r="24" spans="1:2" x14ac:dyDescent="0.3">
      <c r="A24" s="7" t="s">
        <v>675</v>
      </c>
      <c r="B24" s="3">
        <v>10889400</v>
      </c>
    </row>
    <row r="30" spans="1:2" x14ac:dyDescent="0.3">
      <c r="A30" s="6" t="s">
        <v>3</v>
      </c>
      <c r="B30" t="s">
        <v>681</v>
      </c>
    </row>
    <row r="31" spans="1:2" x14ac:dyDescent="0.3">
      <c r="A31" s="6" t="s">
        <v>4</v>
      </c>
      <c r="B31" t="s">
        <v>681</v>
      </c>
    </row>
    <row r="33" spans="1:2" x14ac:dyDescent="0.3">
      <c r="A33" s="6" t="s">
        <v>674</v>
      </c>
      <c r="B33" t="s">
        <v>676</v>
      </c>
    </row>
    <row r="34" spans="1:2" x14ac:dyDescent="0.3">
      <c r="A34" s="7" t="s">
        <v>56</v>
      </c>
      <c r="B34" s="3">
        <v>4192000</v>
      </c>
    </row>
    <row r="35" spans="1:2" x14ac:dyDescent="0.3">
      <c r="A35" s="7" t="s">
        <v>90</v>
      </c>
      <c r="B35" s="3">
        <v>3358000</v>
      </c>
    </row>
    <row r="36" spans="1:2" x14ac:dyDescent="0.3">
      <c r="A36" s="7" t="s">
        <v>39</v>
      </c>
      <c r="B36" s="3">
        <v>4891000</v>
      </c>
    </row>
    <row r="37" spans="1:2" x14ac:dyDescent="0.3">
      <c r="A37" s="7" t="s">
        <v>42</v>
      </c>
      <c r="B37" s="3">
        <v>3616000</v>
      </c>
    </row>
    <row r="38" spans="1:2" x14ac:dyDescent="0.3">
      <c r="A38" s="7" t="s">
        <v>25</v>
      </c>
      <c r="B38" s="3">
        <v>3928000</v>
      </c>
    </row>
    <row r="39" spans="1:2" x14ac:dyDescent="0.3">
      <c r="A39" s="7" t="s">
        <v>45</v>
      </c>
      <c r="B39" s="3">
        <v>2538000</v>
      </c>
    </row>
    <row r="40" spans="1:2" x14ac:dyDescent="0.3">
      <c r="A40" s="7" t="s">
        <v>51</v>
      </c>
      <c r="B40" s="3">
        <v>5006000</v>
      </c>
    </row>
    <row r="41" spans="1:2" x14ac:dyDescent="0.3">
      <c r="A41" s="7" t="s">
        <v>20</v>
      </c>
      <c r="B41" s="3">
        <v>4528000</v>
      </c>
    </row>
    <row r="42" spans="1:2" x14ac:dyDescent="0.3">
      <c r="A42" s="7" t="s">
        <v>71</v>
      </c>
      <c r="B42" s="3">
        <v>4202000</v>
      </c>
    </row>
    <row r="43" spans="1:2" x14ac:dyDescent="0.3">
      <c r="A43" s="7" t="s">
        <v>30</v>
      </c>
      <c r="B43" s="3">
        <v>3610000</v>
      </c>
    </row>
    <row r="44" spans="1:2" x14ac:dyDescent="0.3">
      <c r="A44" s="7" t="s">
        <v>14</v>
      </c>
      <c r="B44" s="3">
        <v>3860000</v>
      </c>
    </row>
    <row r="45" spans="1:2" x14ac:dyDescent="0.3">
      <c r="A45" s="7" t="s">
        <v>121</v>
      </c>
      <c r="B45" s="3">
        <v>4662000</v>
      </c>
    </row>
    <row r="46" spans="1:2" x14ac:dyDescent="0.3">
      <c r="A46" s="7" t="s">
        <v>675</v>
      </c>
      <c r="B46" s="3">
        <v>48391000</v>
      </c>
    </row>
    <row r="49" spans="1:2" x14ac:dyDescent="0.3">
      <c r="A49" s="6" t="s">
        <v>3</v>
      </c>
      <c r="B49" t="s">
        <v>681</v>
      </c>
    </row>
    <row r="50" spans="1:2" x14ac:dyDescent="0.3">
      <c r="A50" s="6" t="s">
        <v>2</v>
      </c>
      <c r="B50" t="s">
        <v>681</v>
      </c>
    </row>
    <row r="52" spans="1:2" x14ac:dyDescent="0.3">
      <c r="A52" s="6" t="s">
        <v>674</v>
      </c>
      <c r="B52" t="s">
        <v>679</v>
      </c>
    </row>
    <row r="53" spans="1:2" x14ac:dyDescent="0.3">
      <c r="A53" s="7" t="s">
        <v>21</v>
      </c>
      <c r="B53" s="5">
        <v>0.39999999999999936</v>
      </c>
    </row>
    <row r="54" spans="1:2" x14ac:dyDescent="0.3">
      <c r="A54" s="7" t="s">
        <v>62</v>
      </c>
      <c r="B54" s="5">
        <v>0.19999999999999979</v>
      </c>
    </row>
    <row r="55" spans="1:2" x14ac:dyDescent="0.3">
      <c r="A55" s="7" t="s">
        <v>16</v>
      </c>
      <c r="B55" s="5">
        <v>0.26666666666666666</v>
      </c>
    </row>
    <row r="56" spans="1:2" x14ac:dyDescent="0.3">
      <c r="A56" s="7" t="s">
        <v>46</v>
      </c>
      <c r="B56" s="5">
        <v>0.25</v>
      </c>
    </row>
    <row r="57" spans="1:2" x14ac:dyDescent="0.3">
      <c r="A57" s="7" t="s">
        <v>27</v>
      </c>
      <c r="B57" s="5">
        <v>0.19999999999999971</v>
      </c>
    </row>
    <row r="58" spans="1:2" x14ac:dyDescent="0.3">
      <c r="A58" s="7" t="s">
        <v>675</v>
      </c>
      <c r="B58" s="5">
        <v>0.26654166666666734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0C8F-9FC7-4960-AD82-E06F7F43F3DD}">
  <sheetPr>
    <pageSetUpPr autoPageBreaks="0"/>
  </sheetPr>
  <dimension ref="D5:Z58"/>
  <sheetViews>
    <sheetView showGridLines="0" tabSelected="1" zoomScale="48" zoomScaleNormal="43" workbookViewId="0">
      <selection activeCell="AI22" sqref="AI22"/>
    </sheetView>
  </sheetViews>
  <sheetFormatPr defaultRowHeight="14.4" x14ac:dyDescent="0.3"/>
  <cols>
    <col min="10" max="10" width="8.88671875" customWidth="1"/>
  </cols>
  <sheetData>
    <row r="5" spans="4:26" ht="36.6" x14ac:dyDescent="0.7">
      <c r="D5" s="10" t="s">
        <v>682</v>
      </c>
      <c r="E5" s="11"/>
      <c r="F5" s="11"/>
      <c r="G5" s="11"/>
      <c r="H5" s="11"/>
      <c r="I5" s="11"/>
      <c r="J5" s="11"/>
      <c r="K5" s="11"/>
      <c r="L5" s="11"/>
      <c r="M5" s="12"/>
      <c r="N5" s="12"/>
      <c r="O5" s="12"/>
      <c r="P5" s="12"/>
      <c r="Q5" s="12"/>
      <c r="R5" s="9"/>
      <c r="S5" s="9"/>
      <c r="T5" s="9"/>
      <c r="U5" s="9"/>
      <c r="V5" s="9"/>
      <c r="W5" s="9"/>
      <c r="X5" s="9"/>
      <c r="Y5" s="9"/>
      <c r="Z5" s="9"/>
    </row>
    <row r="6" spans="4:26" ht="25.8" x14ac:dyDescent="0.5">
      <c r="D6" s="13" t="s">
        <v>677</v>
      </c>
      <c r="E6" s="13"/>
      <c r="F6" s="14"/>
      <c r="G6" s="14"/>
      <c r="H6" s="16"/>
      <c r="I6" s="16"/>
      <c r="J6" s="16"/>
      <c r="K6" s="16"/>
      <c r="L6" s="16"/>
      <c r="M6" s="13" t="s">
        <v>678</v>
      </c>
      <c r="N6" s="13"/>
      <c r="O6" s="13"/>
      <c r="P6" s="14"/>
      <c r="Q6" s="14"/>
      <c r="R6" s="14"/>
      <c r="S6" s="13"/>
      <c r="T6" s="16"/>
      <c r="U6" s="16"/>
      <c r="V6" s="16"/>
      <c r="W6" s="16"/>
      <c r="X6" s="13" t="s">
        <v>680</v>
      </c>
      <c r="Y6" s="13"/>
      <c r="Z6" s="14"/>
    </row>
    <row r="7" spans="4:26" ht="25.8" x14ac:dyDescent="0.5">
      <c r="D7" s="15">
        <f>SUM('Data Cleaning'!J:J)</f>
        <v>48391000</v>
      </c>
      <c r="E7" s="13"/>
      <c r="F7" s="14"/>
      <c r="G7" s="14"/>
      <c r="H7" s="16"/>
      <c r="I7" s="16"/>
      <c r="J7" s="16"/>
      <c r="K7" s="16"/>
      <c r="L7" s="16"/>
      <c r="M7" s="15">
        <f>SUM('Data Cleaning'!L:L)</f>
        <v>10889400</v>
      </c>
      <c r="N7" s="13"/>
      <c r="O7" s="13"/>
      <c r="P7" s="14"/>
      <c r="Q7" s="14"/>
      <c r="R7" s="14"/>
      <c r="S7" s="13"/>
      <c r="T7" s="16"/>
      <c r="U7" s="16"/>
      <c r="V7" s="16"/>
      <c r="W7" s="16"/>
      <c r="X7" s="13">
        <f>COUNTA('Data Cleaning'!A:A)</f>
        <v>401</v>
      </c>
      <c r="Y7" s="13"/>
      <c r="Z7" s="14"/>
    </row>
    <row r="47" spans="12:20" ht="17.399999999999999" x14ac:dyDescent="0.3">
      <c r="L47" s="17" t="s">
        <v>683</v>
      </c>
      <c r="M47" s="18"/>
      <c r="N47" s="18"/>
      <c r="O47" s="18"/>
      <c r="P47" s="18"/>
      <c r="Q47" s="18"/>
      <c r="R47" s="18"/>
      <c r="S47" s="18"/>
      <c r="T47" s="18"/>
    </row>
    <row r="48" spans="12:20" ht="18" x14ac:dyDescent="0.35">
      <c r="L48" s="19" t="s">
        <v>684</v>
      </c>
      <c r="M48" s="19"/>
      <c r="N48" s="19"/>
      <c r="O48" s="19"/>
      <c r="P48" s="19"/>
      <c r="Q48" s="20"/>
      <c r="R48" s="20"/>
      <c r="S48" s="18"/>
      <c r="T48" s="18"/>
    </row>
    <row r="49" spans="11:20" ht="18" x14ac:dyDescent="0.35">
      <c r="L49" s="19" t="s">
        <v>685</v>
      </c>
      <c r="M49" s="19"/>
      <c r="N49" s="19"/>
      <c r="O49" s="19"/>
      <c r="P49" s="19"/>
      <c r="Q49" s="20"/>
      <c r="R49" s="20"/>
      <c r="S49" s="18"/>
      <c r="T49" s="18"/>
    </row>
    <row r="50" spans="11:20" ht="18" x14ac:dyDescent="0.35">
      <c r="L50" s="19" t="s">
        <v>686</v>
      </c>
      <c r="M50" s="19"/>
      <c r="N50" s="19"/>
      <c r="O50" s="19"/>
      <c r="P50" s="19"/>
      <c r="Q50" s="20"/>
      <c r="R50" s="20"/>
      <c r="S50" s="18"/>
      <c r="T50" s="18"/>
    </row>
    <row r="51" spans="11:20" ht="18" x14ac:dyDescent="0.35">
      <c r="L51" s="19" t="s">
        <v>687</v>
      </c>
      <c r="M51" s="19"/>
      <c r="N51" s="19"/>
      <c r="O51" s="19"/>
      <c r="P51" s="19"/>
      <c r="Q51" s="20"/>
      <c r="R51" s="20"/>
      <c r="S51" s="18"/>
      <c r="T51" s="18"/>
    </row>
    <row r="52" spans="11:20" ht="18" x14ac:dyDescent="0.35">
      <c r="L52" s="19" t="s">
        <v>688</v>
      </c>
      <c r="M52" s="19"/>
      <c r="N52" s="19"/>
      <c r="O52" s="19"/>
      <c r="P52" s="19"/>
      <c r="Q52" s="19"/>
      <c r="R52" s="19"/>
      <c r="S52" s="18"/>
      <c r="T52" s="18"/>
    </row>
    <row r="54" spans="11:20" ht="18" x14ac:dyDescent="0.35">
      <c r="K54" s="8"/>
    </row>
    <row r="55" spans="11:20" ht="18" x14ac:dyDescent="0.35">
      <c r="K55" s="8"/>
    </row>
    <row r="56" spans="11:20" ht="18" x14ac:dyDescent="0.35">
      <c r="K56" s="8"/>
    </row>
    <row r="57" spans="11:20" ht="18" x14ac:dyDescent="0.35">
      <c r="K57" s="8"/>
    </row>
    <row r="58" spans="11:20" ht="18" x14ac:dyDescent="0.35">
      <c r="K58"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Data Cleaning</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mohammed lalani</cp:lastModifiedBy>
  <cp:lastPrinted>2026-04-07T04:59:17Z</cp:lastPrinted>
  <dcterms:created xsi:type="dcterms:W3CDTF">2026-04-06T08:07:05Z</dcterms:created>
  <dcterms:modified xsi:type="dcterms:W3CDTF">2026-04-11T08:40:04Z</dcterms:modified>
</cp:coreProperties>
</file>